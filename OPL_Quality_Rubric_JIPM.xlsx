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วิธีใช้ Guide" sheetId="1" state="visible" r:id="rId3"/>
    <sheet name="1_เกณฑ์กลาง Master" sheetId="2" state="visible" r:id="rId4"/>
    <sheet name="2_Basic Knowledge" sheetId="3" state="visible" r:id="rId5"/>
    <sheet name="3_Kaizen Case" sheetId="4" state="visible" r:id="rId6"/>
    <sheet name="4_Trouble Case" sheetId="5" state="visible" r:id="rId7"/>
    <sheet name="5_Best Practice Ref" sheetId="6" state="visible" r:id="rId8"/>
    <sheet name="6_AI Feedback Ma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<sst xmlns="http://schemas.openxmlformats.org/spreadsheetml/2006/main" count="626" uniqueCount="314">
  <si>
    <t xml:space="preserve">OPL Quality Rubric (JIPM) — คู่มือการใช้งาน</t>
  </si>
  <si>
    <t xml:space="preserve">ระบบประเมินคุณภาพ One-Point Lesson 100 คะแนน | 3 ประเภท | ฐานเกณฑ์สำหรับ AI Feedback (Agent 2 &amp; 3)</t>
  </si>
  <si>
    <t xml:space="preserve">แนวคิดหลัก OPL</t>
  </si>
  <si>
    <t xml:space="preserve">OPL คืออะไร</t>
  </si>
  <si>
    <r>
      <rPr>
        <sz val="10"/>
        <color rgb="FF263238"/>
        <rFont val="DejaVu Sans"/>
        <family val="2"/>
      </rPr>
      <t xml:space="preserve">ワンポイントレッスン </t>
    </r>
    <r>
      <rPr>
        <sz val="10"/>
        <color rgb="FF263238"/>
        <rFont val="Tahoma"/>
        <family val="0"/>
        <charset val="1"/>
      </rPr>
      <t xml:space="preserve">(One-Point Lesson) = 1 แผ่น / 1 ประเด็น / สอนใน 5 นาที (5</t>
    </r>
    <r>
      <rPr>
        <sz val="10"/>
        <color rgb="FF263238"/>
        <rFont val="DejaVu Sans"/>
        <family val="2"/>
      </rPr>
      <t xml:space="preserve">分間教育 </t>
    </r>
    <r>
      <rPr>
        <sz val="10"/>
        <color rgb="FF263238"/>
        <rFont val="Tahoma"/>
        <family val="0"/>
        <charset val="1"/>
      </rPr>
      <t xml:space="preserve">go-fun-kan kyōiku = การศึกษา 5 นาที)</t>
    </r>
  </si>
  <si>
    <t xml:space="preserve">หลัก 80:20</t>
  </si>
  <si>
    <t xml:space="preserve">ภาพ 80% : ข้อความ 20% — "เข้าใจได้แม้ไม่อ่านตัวหนังสือ"</t>
  </si>
  <si>
    <t xml:space="preserve">หลักสี 70:25:5</t>
  </si>
  <si>
    <t xml:space="preserve">พื้นหลัง 70% : เนื้อหา 25% : สีเน้น 5% (เน้นจุดสำคัญสุดจุดเดียว เช่น แดง)</t>
  </si>
  <si>
    <t xml:space="preserve">เป้า</t>
  </si>
  <si>
    <t xml:space="preserve">"เปลี่ยนตัวอย่างความล้มเหลวให้เป็นสมบัติ" (Change the failure example to the treasure)</t>
  </si>
  <si>
    <t xml:space="preserve">3 ประเภท OPL (ตาม Make OPL Sheet / JIPM)</t>
  </si>
  <si>
    <t xml:space="preserve">1) Basic Knowledge</t>
  </si>
  <si>
    <r>
      <rPr>
        <sz val="10"/>
        <color rgb="FF263238"/>
        <rFont val="DejaVu Sans"/>
        <family val="2"/>
      </rPr>
      <t xml:space="preserve">基礎知識 </t>
    </r>
    <r>
      <rPr>
        <sz val="10"/>
        <color rgb="FF263238"/>
        <rFont val="Tahoma"/>
        <family val="0"/>
        <charset val="1"/>
      </rPr>
      <t xml:space="preserve">(Kiso-Chishiki) = ความรู้พื้นฐาน/หลักการ/วิธีใช้-มาตรฐาน</t>
    </r>
  </si>
  <si>
    <t xml:space="preserve">2) Kaizen Case</t>
  </si>
  <si>
    <r>
      <rPr>
        <sz val="10"/>
        <color rgb="FF263238"/>
        <rFont val="DejaVu Sans"/>
        <family val="2"/>
      </rPr>
      <t xml:space="preserve">改善事例 </t>
    </r>
    <r>
      <rPr>
        <sz val="10"/>
        <color rgb="FF263238"/>
        <rFont val="Tahoma"/>
        <family val="0"/>
        <charset val="1"/>
      </rPr>
      <t xml:space="preserve">(Kaizen-Jirei) = ตัวอย่างการปรับปรุง Before→After + ผล</t>
    </r>
  </si>
  <si>
    <t xml:space="preserve">3) Trouble Case</t>
  </si>
  <si>
    <r>
      <rPr>
        <sz val="10"/>
        <color rgb="FF263238"/>
        <rFont val="DejaVu Sans"/>
        <family val="2"/>
      </rPr>
      <t xml:space="preserve">トラブル事例 </t>
    </r>
    <r>
      <rPr>
        <sz val="10"/>
        <color rgb="FF263238"/>
        <rFont val="Tahoma"/>
        <family val="0"/>
        <charset val="1"/>
      </rPr>
      <t xml:space="preserve">(Trouble-Jirei) = ตัวอย่างปัญหา/เครื่องเสีย + สาเหตุราก + กันเกิดซ้ำ</t>
    </r>
  </si>
  <si>
    <t xml:space="preserve">โครงสร้างคะแนน 100 (6 หมวด)</t>
  </si>
  <si>
    <t xml:space="preserve">หมวด</t>
  </si>
  <si>
    <t xml:space="preserve">รายละเอียด</t>
  </si>
  <si>
    <t xml:space="preserve">คะแนน</t>
  </si>
  <si>
    <t xml:space="preserve">S1</t>
  </si>
  <si>
    <t xml:space="preserve">หัวเรื่อง &amp; โฟกัส 1 ประเด็น (Topic &amp; One-Point Focus)</t>
  </si>
  <si>
    <t xml:space="preserve">S2</t>
  </si>
  <si>
    <t xml:space="preserve">ความถูกต้องและเนื้อหา (Content Accuracy — ตามประเภท)</t>
  </si>
  <si>
    <t xml:space="preserve">S3</t>
  </si>
  <si>
    <t xml:space="preserve">การสื่อสารด้วยภาพ (Visual Communication) — หัวใจ OPL</t>
  </si>
  <si>
    <t xml:space="preserve">S4</t>
  </si>
  <si>
    <t xml:space="preserve">ข้อความ &amp; อ่านง่าย (Text &amp; Readability)</t>
  </si>
  <si>
    <t xml:space="preserve">S5</t>
  </si>
  <si>
    <t xml:space="preserve">สี/การเน้น &amp; ฟอร์มมาตรฐาน (Color &amp; Standard Form)</t>
  </si>
  <si>
    <t xml:space="preserve">S6</t>
  </si>
  <si>
    <t xml:space="preserve">ประสิทธิผล 5 นาที &amp; การถ่ายทอด (5-Min &amp; Transfer)</t>
  </si>
  <si>
    <t xml:space="preserve">รวม TOTAL</t>
  </si>
  <si>
    <t xml:space="preserve">ระดับคุณภาพ (Level Bands)</t>
  </si>
  <si>
    <t xml:space="preserve">ช่วงคะแนน</t>
  </si>
  <si>
    <t xml:space="preserve">ระดับ</t>
  </si>
  <si>
    <t xml:space="preserve">การนำไปใช้</t>
  </si>
  <si>
    <t xml:space="preserve">90–100</t>
  </si>
  <si>
    <t xml:space="preserve">🟢 World-Class OPL</t>
  </si>
  <si>
    <t xml:space="preserve">ใช้เป็น Best Practice / อ้างอิง JIPM Award ได้</t>
  </si>
  <si>
    <t xml:space="preserve">75–89</t>
  </si>
  <si>
    <t xml:space="preserve">🟢 Good</t>
  </si>
  <si>
    <t xml:space="preserve">พร้อมใช้งาน ปรับเล็กน้อย</t>
  </si>
  <si>
    <t xml:space="preserve">60–74</t>
  </si>
  <si>
    <t xml:space="preserve">🟡 Acceptable</t>
  </si>
  <si>
    <t xml:space="preserve">ใช้ได้ แต่ต้องปรับหลายจุด</t>
  </si>
  <si>
    <t xml:space="preserve">0–59</t>
  </si>
  <si>
    <t xml:space="preserve">🔴 Needs Rework</t>
  </si>
  <si>
    <t xml:space="preserve">ต้องปรับใหญ่ก่อนนำไปใช้</t>
  </si>
  <si>
    <t xml:space="preserve">วิธีใช้ 3 ขั้น</t>
  </si>
  <si>
    <t xml:space="preserve">1) เลือกชีตตามประเภท OPL (Basic / Kaizen / Trouble) → กรอกข้อมูลหัวแผ่น</t>
  </si>
  <si>
    <t xml:space="preserve">2) ให้คะแนนแต่ละเกณฑ์ในช่องสีเหลือง (Score) เทียบกับ "คำอธิบายเกณฑ์เต็มคะแนน"</t>
  </si>
  <si>
    <t xml:space="preserve">3) ระบบรวมคะแนน + บอกระดับอัตโนมัติ + ไฮไลต์ข้อที่ &lt; 60% (จุดต้องปรับ) → ส่งเข้า AI Feedback (Agent 2/3)</t>
  </si>
  <si>
    <t xml:space="preserve">Master Rubric — เกณฑ์ทั้งหมด + การใช้ตามประเภท</t>
  </si>
  <si>
    <t xml:space="preserve">อ้างอิงสำหรับ Agent 2 (Evaluator) — ทุกเกณฑ์ คำอธิบาย คะแนนเต็ม และใช้กับประเภทใด</t>
  </si>
  <si>
    <t xml:space="preserve">No.</t>
  </si>
  <si>
    <t xml:space="preserve">เกณฑ์ (Criterion)</t>
  </si>
  <si>
    <t xml:space="preserve">คำอธิบายเต็มคะแนน (Anchor)</t>
  </si>
  <si>
    <t xml:space="preserve">Max</t>
  </si>
  <si>
    <t xml:space="preserve">ใช้กับประเภท</t>
  </si>
  <si>
    <t xml:space="preserve">1.1</t>
  </si>
  <si>
    <t xml:space="preserve">ชื่อเรื่องชัดเจน บอกว่าจะสอน "อะไร" (Title states what is taught)</t>
  </si>
  <si>
    <t xml:space="preserve">ชื่อเรื่องอ่านแล้วรู้ทันทีว่าสอนเรื่องอะไร เป็นประโยค/วลีเฉพาะเจาะจง ไม่กว้างลอย</t>
  </si>
  <si>
    <t xml:space="preserve">ทุกประเภท (All)</t>
  </si>
  <si>
    <t xml:space="preserve">1.2</t>
  </si>
  <si>
    <r>
      <rPr>
        <sz val="9"/>
        <color rgb="FF263238"/>
        <rFont val="Tahoma"/>
        <family val="0"/>
        <charset val="1"/>
      </rPr>
      <t xml:space="preserve">โฟกัส 1 ประเด็นเดียว (One-Point focus / </t>
    </r>
    <r>
      <rPr>
        <sz val="9"/>
        <color rgb="FF263238"/>
        <rFont val="DejaVu Sans"/>
        <family val="2"/>
      </rPr>
      <t xml:space="preserve">一点 </t>
    </r>
    <r>
      <rPr>
        <sz val="9"/>
        <color rgb="FF263238"/>
        <rFont val="Tahoma"/>
        <family val="0"/>
        <charset val="1"/>
      </rPr>
      <t xml:space="preserve">itten)</t>
    </r>
  </si>
  <si>
    <t xml:space="preserve">มี 1 ประเด็นความรู้เดียว ไม่ยัดหลายเรื่องในแผ่นเดียว</t>
  </si>
  <si>
    <t xml:space="preserve">1.3</t>
  </si>
  <si>
    <t xml:space="preserve">ระบุประเภท OPL ถูกต้อง (Basic/Kaizen/Trouble)</t>
  </si>
  <si>
    <r>
      <rPr>
        <sz val="8"/>
        <color rgb="FF546E7A"/>
        <rFont val="Tahoma"/>
        <family val="0"/>
        <charset val="1"/>
      </rPr>
      <t xml:space="preserve">ติ๊ก/ระบุประเภทตรงกับเนื้อหาจริง (</t>
    </r>
    <r>
      <rPr>
        <sz val="8"/>
        <color rgb="FF546E7A"/>
        <rFont val="DejaVu Sans"/>
        <family val="2"/>
      </rPr>
      <t xml:space="preserve">基礎知識</t>
    </r>
    <r>
      <rPr>
        <sz val="8"/>
        <color rgb="FF546E7A"/>
        <rFont val="Tahoma"/>
        <family val="0"/>
        <charset val="1"/>
      </rPr>
      <t xml:space="preserve">/</t>
    </r>
    <r>
      <rPr>
        <sz val="8"/>
        <color rgb="FF546E7A"/>
        <rFont val="DejaVu Sans"/>
        <family val="2"/>
      </rPr>
      <t xml:space="preserve">改善事例</t>
    </r>
    <r>
      <rPr>
        <sz val="8"/>
        <color rgb="FF546E7A"/>
        <rFont val="Tahoma"/>
        <family val="0"/>
        <charset val="1"/>
      </rPr>
      <t xml:space="preserve">/</t>
    </r>
    <r>
      <rPr>
        <sz val="8"/>
        <color rgb="FF546E7A"/>
        <rFont val="DejaVu Sans"/>
        <family val="2"/>
      </rPr>
      <t xml:space="preserve">トラブル事例</t>
    </r>
    <r>
      <rPr>
        <sz val="8"/>
        <color rgb="FF546E7A"/>
        <rFont val="Tahoma"/>
        <family val="0"/>
        <charset val="1"/>
      </rPr>
      <t xml:space="preserve">)</t>
    </r>
  </si>
  <si>
    <t xml:space="preserve">2.1</t>
  </si>
  <si>
    <t xml:space="preserve">นิยาม/หลักการถูกต้องตามหลักวิศวกรรม (Correct principle)</t>
  </si>
  <si>
    <t xml:space="preserve">อธิบายหลักการ/นิยามถูกต้อง อ้างอิงได้ ไม่คลาดเคลื่อน</t>
  </si>
  <si>
    <t xml:space="preserve">Basic เท่านั้น</t>
  </si>
  <si>
    <t xml:space="preserve">2.2</t>
  </si>
  <si>
    <t xml:space="preserve">วิธีการ/ขั้นตอนถูกต้องครบ (Correct &amp; complete method)</t>
  </si>
  <si>
    <t xml:space="preserve">ขั้นตอนการทำครบ เรียงถูกลำดับ ทำตามได้จริง</t>
  </si>
  <si>
    <t xml:space="preserve">2.3</t>
  </si>
  <si>
    <t xml:space="preserve">ระบุ "ทำไมสำคัญ" / ผลถ้าทำผิด (Why it matters)</t>
  </si>
  <si>
    <t xml:space="preserve">บอกเหตุผล/ผลเสียถ้าไม่ทำตาม เชื่อมกับคุณภาพ-ความปลอดภัย</t>
  </si>
  <si>
    <t xml:space="preserve">สภาพปัญหาเดิม (Before) ชัดเจน</t>
  </si>
  <si>
    <t xml:space="preserve">แสดงสภาพ/ปัญหาเดิม + ผลเสีย (Muda/Loss) ให้เห็นภาพ</t>
  </si>
  <si>
    <t xml:space="preserve">Kaizen เท่านั้น</t>
  </si>
  <si>
    <t xml:space="preserve">วิธีไคเซ็น + After ทำซ้ำได้ (Reproducible kaizen)</t>
  </si>
  <si>
    <t xml:space="preserve">อธิบายไอเดีย/กลไกที่ปรับ จนคนอื่นทำตามได้ (ภาพหลังปรับ)</t>
  </si>
  <si>
    <t xml:space="preserve">ผลลัพธ์เชิงตัวเลข (Quantified effect)</t>
  </si>
  <si>
    <t xml:space="preserve">ระบุผลเป็นตัวเลข เช่น เวลา/ของเสีย/ต้นทุน ลดลงเท่าไร %</t>
  </si>
  <si>
    <t xml:space="preserve">ปรากฏการณ์/อาการชัดเจน (Phenomenon)</t>
  </si>
  <si>
    <t xml:space="preserve">อธิบายอาการเสีย/เหตุการณ์ที่เกิด เห็นภาพจุดจริง</t>
  </si>
  <si>
    <t xml:space="preserve">Trouble เท่านั้น</t>
  </si>
  <si>
    <t xml:space="preserve">สาเหตุราก Why-Why (Root cause)</t>
  </si>
  <si>
    <t xml:space="preserve">สืบสาเหตุถึงราก (Why-Why) ไม่หยุดที่อาการ</t>
  </si>
  <si>
    <t xml:space="preserve">มาตรการแก้ + กันเกิดซ้ำ (Countermeasure &amp; prevention)</t>
  </si>
  <si>
    <t xml:space="preserve">มาตรการแก้ + วิธีกันเกิดซ้ำ + ผูกมาตรฐาน/Poka-yoke</t>
  </si>
  <si>
    <t xml:space="preserve">3.1</t>
  </si>
  <si>
    <t xml:space="preserve">ภาพเป็นพระเอก ~80% ของพื้นที่ (Visual dominance 80%)</t>
  </si>
  <si>
    <t xml:space="preserve">ภาพ/ไดอะแกรมครองพื้นที่หลัก ~80% ข้อความเป็นรอง</t>
  </si>
  <si>
    <t xml:space="preserve">3.2</t>
  </si>
  <si>
    <t xml:space="preserve">ภาพอธิบาย "กลไก/วิธี" ไม่ใช่แค่รูปสวย (Mechanism not decoration)</t>
  </si>
  <si>
    <t xml:space="preserve">เลือกชนิดภาพเหมาะเนื้อหา: Cross-section กลไก / Photo จุดจริง / Line-art ขั้นตอน</t>
  </si>
  <si>
    <t xml:space="preserve">3.3</t>
  </si>
  <si>
    <t xml:space="preserve">ลูกศร/วงกลม/Callout ชี้จุดสำคัญ (Arrows &amp; callouts)</t>
  </si>
  <si>
    <t xml:space="preserve">มีลูกศร วงกลม หรือ callout ชี้ตำแหน่งสำคัญชัดเจน ไม่ปล่อยให้เดา</t>
  </si>
  <si>
    <t xml:space="preserve">3.4</t>
  </si>
  <si>
    <t xml:space="preserve">เปรียบเทียบ OK vs NG / Before vs After</t>
  </si>
  <si>
    <t xml:space="preserve">แสดงคู่เทียบถูก-ผิด หรือ ก่อน-หลัง ในมุมเดียวกัน (ถ้าบริบทต้องมี)</t>
  </si>
  <si>
    <t xml:space="preserve">3.5</t>
  </si>
  <si>
    <t xml:space="preserve">เข้าใจได้แม้ไม่อ่านข้อความ (Understand without text)</t>
  </si>
  <si>
    <t xml:space="preserve">ดูภาพอย่างเดียวก็จับใจความหลักได้</t>
  </si>
  <si>
    <t xml:space="preserve">4.1</t>
  </si>
  <si>
    <t xml:space="preserve">ข้อความน้อย กระชับ (Text ≤20% / minimal)</t>
  </si>
  <si>
    <t xml:space="preserve">ข้อความสั้น เป็น bullet/วลี ไม่ยกย่อหน้ายาว</t>
  </si>
  <si>
    <t xml:space="preserve">4.2</t>
  </si>
  <si>
    <t xml:space="preserve">ตัวอักษรใหญ่ เข้ม อ่านง่าย (Big, bold, legible)</t>
  </si>
  <si>
    <t xml:space="preserve">ขนาดอักษรใหญ่พอ มองจากระยะยืนได้ เน้นตัวหนาคำสำคัญ</t>
  </si>
  <si>
    <t xml:space="preserve">4.3</t>
  </si>
  <si>
    <t xml:space="preserve">ใช้คำง่าย ระดับ Operator เข้าใจ (Plain language)</t>
  </si>
  <si>
    <t xml:space="preserve">ภาษาง่าย ศัพท์เทคนิคมีคำอธิบาย/ภาพประกอบ</t>
  </si>
  <si>
    <t xml:space="preserve">5.1</t>
  </si>
  <si>
    <t xml:space="preserve">ใช้สีเน้นแบบ 70:25:5 (สีเน้นจุดเดียว)</t>
  </si>
  <si>
    <t xml:space="preserve">พื้นหลังเรียบ 70% เนื้อหา 25% สีเน้น (แดง) เพียง 5% ที่จุดสำคัญสุด</t>
  </si>
  <si>
    <t xml:space="preserve">5.2</t>
  </si>
  <si>
    <t xml:space="preserve">ฟอร์มครบ: No./วันที่/ผู้จัดทำ/ผู้อนุมัติ/Category</t>
  </si>
  <si>
    <t xml:space="preserve">มีหัวฟอร์มมาตรฐานครบ ลำดับเลขที่ วันที่ ผู้จัดทำ-อนุมัติ ช่องประเภท</t>
  </si>
  <si>
    <t xml:space="preserve">5.3</t>
  </si>
  <si>
    <t xml:space="preserve">Layout เป็นระเบียบ ไหลตามลำดับการอ่าน</t>
  </si>
  <si>
    <t xml:space="preserve">จัดวางเป็นขั้นตอน/โซน อ่านไหลลื่นซ้าย→ขวา บน→ล่าง</t>
  </si>
  <si>
    <t xml:space="preserve">6.1</t>
  </si>
  <si>
    <r>
      <rPr>
        <sz val="9"/>
        <color rgb="FF263238"/>
        <rFont val="Tahoma"/>
        <family val="0"/>
        <charset val="1"/>
      </rPr>
      <t xml:space="preserve">สอน/อ่านจบเข้าใจใน ≤5 นาที (5</t>
    </r>
    <r>
      <rPr>
        <sz val="9"/>
        <color rgb="FF263238"/>
        <rFont val="DejaVu Sans"/>
        <family val="2"/>
      </rPr>
      <t xml:space="preserve">分間教育</t>
    </r>
    <r>
      <rPr>
        <sz val="9"/>
        <color rgb="FF263238"/>
        <rFont val="Tahoma"/>
        <family val="0"/>
        <charset val="1"/>
      </rPr>
      <t xml:space="preserve">)</t>
    </r>
  </si>
  <si>
    <t xml:space="preserve">ปริมาณเนื้อหาพอดีถ่ายทอดได้ใน 5 นาที ณ หน้างาน</t>
  </si>
  <si>
    <t xml:space="preserve">6.2</t>
  </si>
  <si>
    <t xml:space="preserve">ตาราง Tracking ผู้รับการถ่ายทอด (ชื่อ/วันที่)</t>
  </si>
  <si>
    <t xml:space="preserve">มีตารางบันทึกผู้สอน-ผู้เรียน วันที่ เพื่อยืนยันการถ่ายทอด</t>
  </si>
  <si>
    <t xml:space="preserve">6.3</t>
  </si>
  <si>
    <t xml:space="preserve">พร้อมขยายผล Yokoten / เชื่อมมาตรฐาน AM-PM</t>
  </si>
  <si>
    <r>
      <rPr>
        <sz val="8"/>
        <color rgb="FF546E7A"/>
        <rFont val="Tahoma"/>
        <family val="0"/>
        <charset val="1"/>
      </rPr>
      <t xml:space="preserve">ระบุการนำไปใช้ซ้ำจุดอื่น (</t>
    </r>
    <r>
      <rPr>
        <sz val="8"/>
        <color rgb="FF546E7A"/>
        <rFont val="DejaVu Sans"/>
        <family val="2"/>
      </rPr>
      <t xml:space="preserve">横展開</t>
    </r>
    <r>
      <rPr>
        <sz val="8"/>
        <color rgb="FF546E7A"/>
        <rFont val="Tahoma"/>
        <family val="0"/>
        <charset val="1"/>
      </rPr>
      <t xml:space="preserve">) หรือผูกกับ CIL/มาตรฐาน</t>
    </r>
  </si>
  <si>
    <t xml:space="preserve">OPL Quality Scoring — Basic Knowledge</t>
  </si>
  <si>
    <r>
      <rPr>
        <sz val="9"/>
        <color rgb="FFFFFFFF"/>
        <rFont val="Tahoma"/>
        <family val="0"/>
        <charset val="1"/>
      </rPr>
      <t xml:space="preserve">ประเภท: </t>
    </r>
    <r>
      <rPr>
        <sz val="9"/>
        <color rgb="FFFFFFFF"/>
        <rFont val="DejaVu Sans"/>
        <family val="2"/>
      </rPr>
      <t xml:space="preserve">基礎知識 </t>
    </r>
    <r>
      <rPr>
        <sz val="9"/>
        <color rgb="FFFFFFFF"/>
        <rFont val="Tahoma"/>
        <family val="0"/>
        <charset val="1"/>
      </rPr>
      <t xml:space="preserve">Kiso-Chishiki  |  เต็ม 100 คะแนน  |  กรอกเฉพาะช่องสีเหลือง (Score)  |  JIPM One-Point Lesson</t>
    </r>
  </si>
  <si>
    <t xml:space="preserve">ชื่อ OPL / Title:</t>
  </si>
  <si>
    <t xml:space="preserve">ผู้จัดทำ / Author:</t>
  </si>
  <si>
    <t xml:space="preserve">เลขที่ / No.:</t>
  </si>
  <si>
    <t xml:space="preserve">วันที่ประเมิน / Date:</t>
  </si>
  <si>
    <t xml:space="preserve">เกณฑ์การประเมิน (Criterion)</t>
  </si>
  <si>
    <t xml:space="preserve">คำอธิบายเกณฑ์เต็มคะแนน (Full-score anchor)</t>
  </si>
  <si>
    <t xml:space="preserve">Score</t>
  </si>
  <si>
    <t xml:space="preserve">หมายเหตุ/หลักฐาน (Evidence)</t>
  </si>
  <si>
    <t xml:space="preserve">S1. หัวเรื่อง &amp; โฟกัส 1 ประเด็น (Topic &amp; One-Point Focus)   [15 คะแนน]</t>
  </si>
  <si>
    <t xml:space="preserve">รวม S1 (Subtotal)</t>
  </si>
  <si>
    <r>
      <rPr>
        <b val="true"/>
        <sz val="10"/>
        <color rgb="FFFFFFFF"/>
        <rFont val="Tahoma"/>
        <family val="0"/>
        <charset val="1"/>
      </rPr>
      <t xml:space="preserve">S2. S2 ความถูกต้องและเนื้อหา (Basic Knowledge) — </t>
    </r>
    <r>
      <rPr>
        <b val="true"/>
        <sz val="10"/>
        <color rgb="FFFFFFFF"/>
        <rFont val="DejaVu Sans"/>
        <family val="2"/>
      </rPr>
      <t xml:space="preserve">基礎知識 </t>
    </r>
    <r>
      <rPr>
        <b val="true"/>
        <sz val="10"/>
        <color rgb="FFFFFFFF"/>
        <rFont val="Tahoma"/>
        <family val="0"/>
        <charset val="1"/>
      </rPr>
      <t xml:space="preserve">Kiso-Chishiki   [20 คะแนน]</t>
    </r>
  </si>
  <si>
    <t xml:space="preserve">รวม S2 (Subtotal)</t>
  </si>
  <si>
    <t xml:space="preserve">S3. การสื่อสารด้วยภาพ (Visual Communication) — หัวใจ OPL   [25 คะแนน]</t>
  </si>
  <si>
    <t xml:space="preserve">รวม S3 (Subtotal)</t>
  </si>
  <si>
    <t xml:space="preserve">S4. ข้อความ &amp; อ่านง่าย (Text &amp; Readability)   [15 คะแนน]</t>
  </si>
  <si>
    <t xml:space="preserve">รวม S4 (Subtotal)</t>
  </si>
  <si>
    <t xml:space="preserve">S5. สี/การเน้น &amp; ฟอร์มมาตรฐาน (Color &amp; Standard Form)   [10 คะแนน]</t>
  </si>
  <si>
    <t xml:space="preserve">รวม S5 (Subtotal)</t>
  </si>
  <si>
    <t xml:space="preserve">S6. ประสิทธิผล 5 นาที &amp; การถ่ายทอด (5-Min &amp; Transfer)   [15 คะแนน]</t>
  </si>
  <si>
    <t xml:space="preserve">รวม S6 (Subtotal)</t>
  </si>
  <si>
    <t xml:space="preserve">คะแนนรวม (TOTAL SCORE)  /100</t>
  </si>
  <si>
    <t xml:space="preserve">ระดับคุณภาพ (Quality Level)</t>
  </si>
  <si>
    <t xml:space="preserve">หมายเหตุ: ช่องที่คะแนน &lt; 60% ของ Max จะถูกไฮไลต์แดงอัตโนมัติ = จุดที่ต้องปรับปรุง (ส่งให้ Agent 2/3 ทำ Feedback)</t>
  </si>
  <si>
    <t xml:space="preserve">OPL Quality Scoring — Kaizen Case</t>
  </si>
  <si>
    <r>
      <rPr>
        <sz val="9"/>
        <color rgb="FFFFFFFF"/>
        <rFont val="Tahoma"/>
        <family val="0"/>
        <charset val="1"/>
      </rPr>
      <t xml:space="preserve">ประเภท: </t>
    </r>
    <r>
      <rPr>
        <sz val="9"/>
        <color rgb="FFFFFFFF"/>
        <rFont val="DejaVu Sans"/>
        <family val="2"/>
      </rPr>
      <t xml:space="preserve">改善事例 </t>
    </r>
    <r>
      <rPr>
        <sz val="9"/>
        <color rgb="FFFFFFFF"/>
        <rFont val="Tahoma"/>
        <family val="0"/>
        <charset val="1"/>
      </rPr>
      <t xml:space="preserve">Kaizen-Jirei  |  เต็ม 100 คะแนน  |  กรอกเฉพาะช่องสีเหลือง (Score)  |  JIPM One-Point Lesson</t>
    </r>
  </si>
  <si>
    <r>
      <rPr>
        <b val="true"/>
        <sz val="10"/>
        <color rgb="FFFFFFFF"/>
        <rFont val="Tahoma"/>
        <family val="0"/>
        <charset val="1"/>
      </rPr>
      <t xml:space="preserve">S2. S2 ความถูกต้องและเนื้อหา (Kaizen Case) — </t>
    </r>
    <r>
      <rPr>
        <b val="true"/>
        <sz val="10"/>
        <color rgb="FFFFFFFF"/>
        <rFont val="DejaVu Sans"/>
        <family val="2"/>
      </rPr>
      <t xml:space="preserve">改善事例 </t>
    </r>
    <r>
      <rPr>
        <b val="true"/>
        <sz val="10"/>
        <color rgb="FFFFFFFF"/>
        <rFont val="Tahoma"/>
        <family val="0"/>
        <charset val="1"/>
      </rPr>
      <t xml:space="preserve">Kaizen-Jirei   [20 คะแนน]</t>
    </r>
  </si>
  <si>
    <t xml:space="preserve">OPL Quality Scoring — Trouble Case</t>
  </si>
  <si>
    <r>
      <rPr>
        <sz val="9"/>
        <color rgb="FFFFFFFF"/>
        <rFont val="Tahoma"/>
        <family val="0"/>
        <charset val="1"/>
      </rPr>
      <t xml:space="preserve">ประเภท: </t>
    </r>
    <r>
      <rPr>
        <sz val="9"/>
        <color rgb="FFFFFFFF"/>
        <rFont val="DejaVu Sans"/>
        <family val="2"/>
      </rPr>
      <t xml:space="preserve">トラブル事例 </t>
    </r>
    <r>
      <rPr>
        <sz val="9"/>
        <color rgb="FFFFFFFF"/>
        <rFont val="Tahoma"/>
        <family val="0"/>
        <charset val="1"/>
      </rPr>
      <t xml:space="preserve">Trouble-Jirei  |  เต็ม 100 คะแนน  |  กรอกเฉพาะช่องสีเหลือง (Score)  |  JIPM One-Point Lesson</t>
    </r>
  </si>
  <si>
    <r>
      <rPr>
        <b val="true"/>
        <sz val="10"/>
        <color rgb="FFFFFFFF"/>
        <rFont val="Tahoma"/>
        <family val="0"/>
        <charset val="1"/>
      </rPr>
      <t xml:space="preserve">S2. S2 ความถูกต้องและเนื้อหา (Trouble Case) — </t>
    </r>
    <r>
      <rPr>
        <b val="true"/>
        <sz val="10"/>
        <color rgb="FFFFFFFF"/>
        <rFont val="DejaVu Sans"/>
        <family val="2"/>
      </rPr>
      <t xml:space="preserve">トラブル事例 </t>
    </r>
    <r>
      <rPr>
        <b val="true"/>
        <sz val="10"/>
        <color rgb="FFFFFFFF"/>
        <rFont val="Tahoma"/>
        <family val="0"/>
        <charset val="1"/>
      </rPr>
      <t xml:space="preserve">Trouble-Jirei   [20 คะแนน]</t>
    </r>
  </si>
  <si>
    <t xml:space="preserve">Best Practice OPL — ตัวอย่างอ้างอิง 3 สไตล์</t>
  </si>
  <si>
    <t xml:space="preserve">สกัดจาก: Make OPL Sheet (JIPM) + Example of OPL Japan (Yokohama) + IKEA Concept (SCG) | ฐานอ้างอิงของ Agent 3</t>
  </si>
  <si>
    <t xml:space="preserve">#</t>
  </si>
  <si>
    <t xml:space="preserve">สไตล์ (Style)</t>
  </si>
  <si>
    <t xml:space="preserve">ทำไมดี / จุดเด่น (Why it works)</t>
  </si>
  <si>
    <t xml:space="preserve">เทคนิคนำไปใช้ (How to apply)</t>
  </si>
  <si>
    <t xml:space="preserve">เหมาะกับประเภท</t>
  </si>
  <si>
    <t xml:space="preserve">A</t>
  </si>
  <si>
    <r>
      <rPr>
        <b val="true"/>
        <sz val="9"/>
        <color rgb="FF263238"/>
        <rFont val="Tahoma"/>
        <family val="0"/>
        <charset val="1"/>
      </rPr>
      <t xml:space="preserve">Japan Photo + Annotation
(Yokohama 5</t>
    </r>
    <r>
      <rPr>
        <b val="true"/>
        <sz val="9"/>
        <color rgb="FF263238"/>
        <rFont val="DejaVu Sans"/>
        <family val="2"/>
      </rPr>
      <t xml:space="preserve">分間教育</t>
    </r>
    <r>
      <rPr>
        <b val="true"/>
        <sz val="9"/>
        <color rgb="FF263238"/>
        <rFont val="Tahoma"/>
        <family val="0"/>
        <charset val="1"/>
      </rPr>
      <t xml:space="preserve">)</t>
    </r>
  </si>
  <si>
    <t xml:space="preserve">ใช้รูปถ่ายเครื่องจริง ณ จุดเกิดเหตุ + เขียนมือเน้นสี (แดง=สำคัญ/อันตราย, น้ำเงิน=ปกติ) + ลูกศร/วงกลมชี้จุด → คนเห็นแล้วนึกภาพหน้างานออกทันที</t>
  </si>
  <si>
    <t xml:space="preserve">ถ่ายภาพจุดจริง → วงกลมแดงตำแหน่งปัญหา → ลูกศรชี้ทิศการไหล/แรง → คำเน้นสั้นๆ สีแดง 1-2 คำ + ตราอนุมัติ/เลขที่</t>
  </si>
  <si>
    <t xml:space="preserve">Trouble, Kaizen</t>
  </si>
  <si>
    <t xml:space="preserve">B</t>
  </si>
  <si>
    <t xml:space="preserve">IKEA Concept Line-art
(SCG TPM OPL)</t>
  </si>
  <si>
    <t xml:space="preserve">ลายเส้นเรียบสะอาด + ขั้นตอนมีเลข 1-2-3 + คำน้อยมาก + white space เยอะ → ทำตามได้เหมือนคู่มือประกอบเฟอร์นิเจอร์ IKEA</t>
  </si>
  <si>
    <t xml:space="preserve">วาดมือ/เวกเตอร์เส้นเดียว แสดงมือกำลังทำงาน → เรียงเป็น step มีเลข → 1 step 1 ภาพ 1 ประโยค → เว้นที่ว่างให้โล่ง</t>
  </si>
  <si>
    <t xml:space="preserve">Basic (วิธีใช้/ขั้นตอน)</t>
  </si>
  <si>
    <t xml:space="preserve">C</t>
  </si>
  <si>
    <t xml:space="preserve">Cross-Section Mechanism
(SCG One-Point Lesson)</t>
  </si>
  <si>
    <t xml:space="preserve">ภาพตัดขวางกลไก (สีเทา=โครงสร้าง/น้ำเงิน=การไหลปกติ/แดง=จุดเสีย) + callout อธิบายชิ้นส่วน → เข้าใจ 'ทำไม' ไม่ใช่แค่ 'อะไร'</t>
  </si>
  <si>
    <t xml:space="preserve">วาด 2D ตัดขวาง → hatching ส่วนโลหะ → ลูกศรแรง/การไหล → callout ชื่อชิ้นส่วน → เน้นจุดวิกฤตด้วยแดงจุดเดียว</t>
  </si>
  <si>
    <t xml:space="preserve">Basic (หลักการ), Trouble</t>
  </si>
  <si>
    <t xml:space="preserve">D</t>
  </si>
  <si>
    <t xml:space="preserve">Mascot + OK/NG Board
(Japan AM Board)</t>
  </si>
  <si>
    <t xml:space="preserve">ตัวการ์ตูน mascot นำสายตา + คู่เทียบ OK vs NG ชัด + สีสด → ดึงดูด operator อ่านหน้าบอร์ดเช้า (3 นาที/แผ่น)</t>
  </si>
  <si>
    <t xml:space="preserve">ใช้คู่ภาพ ✅ถูก / ❌ผิด มุมเดียวกัน → mascot ชี้จุด → ติดบอร์ดประกาศเช้า 1 แผ่น/คน/เดือน</t>
  </si>
  <si>
    <t xml:space="preserve">ทุกประเภท (เน้นถ่ายทอด)</t>
  </si>
  <si>
    <t xml:space="preserve">กฎทอง 7 ข้อจากตัวอย่าง Best Practice (Golden Rules)</t>
  </si>
  <si>
    <t xml:space="preserve">1) 1 แผ่น = 1 ประเด็น = 5 นาที (อย่ายัดหลายเรื่อง)</t>
  </si>
  <si>
    <t xml:space="preserve">2) ภาพ 80% : ข้อความ 20% — ทดสอบโดยปิดข้อความแล้วยังเข้าใจ</t>
  </si>
  <si>
    <t xml:space="preserve">3) สีเน้น 70:25:5 — สีแดงใช้ที่ 'จุดสำคัญสุด' จุดเดียวเท่านั้น</t>
  </si>
  <si>
    <t xml:space="preserve">4) ทุกภาพต้องมีลูกศร/วงกลม/callout ชี้จุด อย่าให้ผู้อ่านเดา</t>
  </si>
  <si>
    <t xml:space="preserve">5) มีคู่เทียบ OK vs NG หรือ Before vs After ในมุมเดียวกัน</t>
  </si>
  <si>
    <t xml:space="preserve">6) ตัวอักษรใหญ่-เข้น-คำง่าย ระดับ operator (หลีกเลี่ยงศัพท์ลอย)</t>
  </si>
  <si>
    <r>
      <rPr>
        <sz val="9"/>
        <color rgb="FF263238"/>
        <rFont val="Tahoma"/>
        <family val="0"/>
        <charset val="1"/>
      </rPr>
      <t xml:space="preserve">7) มีตาราง tracking การถ่ายทอด + พร้อมขยายผล Yokoten (</t>
    </r>
    <r>
      <rPr>
        <sz val="9"/>
        <color rgb="FF263238"/>
        <rFont val="DejaVu Sans"/>
        <family val="2"/>
      </rPr>
      <t xml:space="preserve">横展開</t>
    </r>
    <r>
      <rPr>
        <sz val="9"/>
        <color rgb="FF263238"/>
        <rFont val="Tahoma"/>
        <family val="0"/>
        <charset val="1"/>
      </rPr>
      <t xml:space="preserve">)</t>
    </r>
  </si>
  <si>
    <t xml:space="preserve">AI Feedback Map — ฐานความรู้ Agent 2 → Agent 3</t>
  </si>
  <si>
    <t xml:space="preserve">แต่ละเกณฑ์: อาการที่มักเจอ → ข้อความ Feedback แบบแชต (กระชับ) → วิธีแก้/ตัวอย่างเขียนใหม่ | ป้อนเข้า Vector DB</t>
  </si>
  <si>
    <t xml:space="preserve">เกณฑ์</t>
  </si>
  <si>
    <t xml:space="preserve">อาการที่มักเจอ (Weakness)</t>
  </si>
  <si>
    <t xml:space="preserve">💬 Feedback (chat, กระชับ)</t>
  </si>
  <si>
    <t xml:space="preserve">วิธีแก้ / เขียนใหม่ให้กระชับ (Fix)</t>
  </si>
  <si>
    <t xml:space="preserve">อ้างอิง Best Practice</t>
  </si>
  <si>
    <t xml:space="preserve">ชื่อเรื่องกว้าง/คลุมเครือ เช่น "การบำรุงรักษาปั๊ม"</t>
  </si>
  <si>
    <t xml:space="preserve">ชื่อเรื่องยังกว้างไป ผู้อ่านยังไม่รู้จะได้เรียน 1 ประเด็นไหน</t>
  </si>
  <si>
    <t xml:space="preserve">ตั้งชื่อเจาะจงการกระทำ+จุด: "วิธีตรวจรอยรั่ว Mechanical Seal ปั๊ม P-101"</t>
  </si>
  <si>
    <t xml:space="preserve">กฎ #1</t>
  </si>
  <si>
    <t xml:space="preserve">ยัด 3-4 เรื่องในแผ่นเดียว</t>
  </si>
  <si>
    <t xml:space="preserve">แผ่นนี้มีหลายประเด็นปนกัน เกิน 5 นาที — แยกเป็นหลาย OPL</t>
  </si>
  <si>
    <t xml:space="preserve">คงไว้ 1 ประเด็นเด่น ที่เหลือแตกเป็น OPL ใบใหม่ (1 แผ่น/เรื่อง)</t>
  </si>
  <si>
    <t xml:space="preserve">ติ๊กประเภทผิด เช่น Trouble แต่เนื้อหาเป็นวิธีใช้</t>
  </si>
  <si>
    <t xml:space="preserve">ประเภทไม่ตรงเนื้อหา ควรเป็น Basic Knowledge</t>
  </si>
  <si>
    <t xml:space="preserve">ปรับ category ให้ตรง: สอนวิธี=Basic, ปรับปรุง=Kaizen, ของเสีย/เครื่องเสีย=Trouble</t>
  </si>
  <si>
    <t xml:space="preserve">Make OPL Sheet</t>
  </si>
  <si>
    <t xml:space="preserve">2.1B</t>
  </si>
  <si>
    <t xml:space="preserve">อธิบายหลักการผิด/ไม่อ้างอิง</t>
  </si>
  <si>
    <t xml:space="preserve">หลักการข้อนี้ยังคลาดเคลื่อน/ไม่มีแหล่งอ้างอิง</t>
  </si>
  <si>
    <t xml:space="preserve">ระบุหลักการให้ถูก + แนบค่าจากคู่มือเครื่อง [REF] อย่าใช้ความจำ</t>
  </si>
  <si>
    <t xml:space="preserve">Style C</t>
  </si>
  <si>
    <t xml:space="preserve">2.2B</t>
  </si>
  <si>
    <t xml:space="preserve">ขั้นตอนข้าม/สลับลำดับ</t>
  </si>
  <si>
    <t xml:space="preserve">ขั้นตอนยังไม่ครบ/สลับลำดับ ทำตามจริงไม่ได้</t>
  </si>
  <si>
    <t xml:space="preserve">เรียง step ตามลำดับทำจริง 1-2-3 ภาพคู่ทุกขั้น (IKEA style)</t>
  </si>
  <si>
    <t xml:space="preserve">Style B</t>
  </si>
  <si>
    <t xml:space="preserve">2.3B</t>
  </si>
  <si>
    <t xml:space="preserve">ไม่บอกว่าทำไมต้องทำ</t>
  </si>
  <si>
    <t xml:space="preserve">ขาด 'ทำไมสำคัญ' ผู้เรียนไม่เห็นผลถ้าทำผิด</t>
  </si>
  <si>
    <t xml:space="preserve">เติม 1 บรรทัด: ถ้าไม่ทำ→เกิดอะไร (เชื่อมคุณภาพ/Safety)</t>
  </si>
  <si>
    <t xml:space="preserve">กฎ #6</t>
  </si>
  <si>
    <t xml:space="preserve">2.1K</t>
  </si>
  <si>
    <t xml:space="preserve">Before ไม่ชัด ไม่เห็นปัญหาเดิม</t>
  </si>
  <si>
    <t xml:space="preserve">ยังไม่เห็นสภาพ/ผลเสียก่อนปรับ</t>
  </si>
  <si>
    <t xml:space="preserve">ใส่ภาพ Before มุมเดียวกับ After + ระบุ Loss เดิมเป็นตัวเลข</t>
  </si>
  <si>
    <t xml:space="preserve">Style A/D</t>
  </si>
  <si>
    <t xml:space="preserve">2.2K</t>
  </si>
  <si>
    <t xml:space="preserve">ไอเดียไคเซ็นลอย ทำตามไม่ได้</t>
  </si>
  <si>
    <t xml:space="preserve">วิธีไคเซ็นยังทำซ้ำไม่ได้ ขาดกลไกที่ปรับ</t>
  </si>
  <si>
    <t xml:space="preserve">วาดกลไกที่เปลี่ยน + อธิบายสั้นว่าปรับอะไร ที่ไหน ทำตามได้</t>
  </si>
  <si>
    <t xml:space="preserve">2.3K</t>
  </si>
  <si>
    <t xml:space="preserve">ไม่มีตัวเลขผล</t>
  </si>
  <si>
    <t xml:space="preserve">ผลลัพธ์ยังไม่เป็นตัวเลข วัดไม่ได้</t>
  </si>
  <si>
    <t xml:space="preserve">ระบุผลเชิงปริมาณ: เวลา -40%, ของเสีย 5%→1%, เซฟ ฿/ปี</t>
  </si>
  <si>
    <t xml:space="preserve">3-Zone Graph</t>
  </si>
  <si>
    <t xml:space="preserve">2.1T</t>
  </si>
  <si>
    <t xml:space="preserve">อาการคลุมเครือ ปนสาเหตุ</t>
  </si>
  <si>
    <t xml:space="preserve">อาการเสียยังไม่ชัด/ปนกับสาเหตุ</t>
  </si>
  <si>
    <t xml:space="preserve">เขียนอาการเชิงสังเกตเห็น + ภาพจุดจริงวงแดง (อย่าใส่สาเหตุตรงนี้)</t>
  </si>
  <si>
    <t xml:space="preserve">Style A</t>
  </si>
  <si>
    <t xml:space="preserve">2.2T</t>
  </si>
  <si>
    <t xml:space="preserve">หยุดที่อาการ ไม่ถึงรากสาเหตุ</t>
  </si>
  <si>
    <t xml:space="preserve">Why-Why ยังตื้น หยุดที่อาการ ไม่ถึงราก</t>
  </si>
  <si>
    <t xml:space="preserve">ถาม Why ต่อจนถึงรากที่แก้แล้วไม่ซ้ำ (เชิงกลไก/มาตรฐาน)</t>
  </si>
  <si>
    <t xml:space="preserve">Visual Why-Why</t>
  </si>
  <si>
    <t xml:space="preserve">2.3T</t>
  </si>
  <si>
    <t xml:space="preserve">แก้เฉพาะหน้า ไม่กันซ้ำ</t>
  </si>
  <si>
    <t xml:space="preserve">มาตรการยังเป็นแก้เฉพาะหน้า ไม่กันเกิดซ้ำ</t>
  </si>
  <si>
    <t xml:space="preserve">เพิ่มมาตรการถาวร: Poka-yoke/แก้มาตรฐาน/ผูก CIL เพื่อกันซ้ำ</t>
  </si>
  <si>
    <t xml:space="preserve">กฎ #7</t>
  </si>
  <si>
    <t xml:space="preserve">ข้อความเยอะ ภาพเล็ก</t>
  </si>
  <si>
    <t xml:space="preserve">ภาพยังเล็กไป ข้อความครองพื้นที่ — กลับเป็น 80:20</t>
  </si>
  <si>
    <t xml:space="preserve">ขยายภาพเป็นพระเอก ตัดข้อความเหลือ caption สั้น</t>
  </si>
  <si>
    <t xml:space="preserve">กฎ #2</t>
  </si>
  <si>
    <t xml:space="preserve">ใส่รูปสวยแต่ไม่อธิบายกลไก</t>
  </si>
  <si>
    <t xml:space="preserve">ภาพยังเป็นไม้ประดับ ไม่ได้อธิบายกลไก/วิธี</t>
  </si>
  <si>
    <t xml:space="preserve">เลือกภาพให้ตรงงาน: กลไก→Cross-section, จุดจริง→Photo, ขั้นตอน→Line-art</t>
  </si>
  <si>
    <t xml:space="preserve">Style B/C</t>
  </si>
  <si>
    <t xml:space="preserve">ไม่มีลูกศร/จุดชี้</t>
  </si>
  <si>
    <t xml:space="preserve">ผู้อ่านต้องเดาว่าให้ดูตรงไหน — เพิ่ม callout</t>
  </si>
  <si>
    <t xml:space="preserve">เติมลูกศร/วงกลมแดงชี้จุดสำคัญ + ป้ายชื่อชิ้นส่วน</t>
  </si>
  <si>
    <t xml:space="preserve">ไม่มีคู่เทียบถูก-ผิด</t>
  </si>
  <si>
    <t xml:space="preserve">ยังไม่มี OK vs NG ผู้เรียนแยกไม่ออก</t>
  </si>
  <si>
    <t xml:space="preserve">เพิ่มคู่ ✅OK / ❌NG มุมเดียวกัน เน้นจุดต่าง</t>
  </si>
  <si>
    <t xml:space="preserve">Style D</t>
  </si>
  <si>
    <t xml:space="preserve">ปิดข้อความแล้วงง</t>
  </si>
  <si>
    <t xml:space="preserve">ลองปิดข้อความ—ยังเข้าใจไหม? ตอนนี้ยังไม่</t>
  </si>
  <si>
    <t xml:space="preserve">ทำภาพให้เล่าเรื่องเองได้ ข้อความเป็นแค่ตัวช่วย</t>
  </si>
  <si>
    <t xml:space="preserve">ย่อหน้ายาว</t>
  </si>
  <si>
    <t xml:space="preserve">ข้อความยาวเป็นย่อหน้า เกิน 20% — ตัดให้สั้น</t>
  </si>
  <si>
    <t xml:space="preserve">แปลงเป็น bullet/วลีสั้น ลบคำฟุ่มเฟือย (ทดสอบ: ตัดคำได้ความเท่าเดิม)</t>
  </si>
  <si>
    <t xml:space="preserve">ตัวอักษรเล็ก/ไม่เน้น</t>
  </si>
  <si>
    <t xml:space="preserve">อักษรเล็กไป มองจากที่ยืนไม่ชัด</t>
  </si>
  <si>
    <t xml:space="preserve">เพิ่มขนาดอักษร + ตัวหนาคำสำคัญ (หัวข้อ ≥ตัวใหญ่)</t>
  </si>
  <si>
    <t xml:space="preserve">ศัพท์เทคนิคลอย</t>
  </si>
  <si>
    <t xml:space="preserve">มีศัพท์เทคนิคที่ operator อาจไม่เข้าใจ</t>
  </si>
  <si>
    <t xml:space="preserve">ใช้คำง่าย หรือแนบภาพ/คำแปลกำกับศัพท์เฉพาะ</t>
  </si>
  <si>
    <t xml:space="preserve">สีหลายสีตีกัน</t>
  </si>
  <si>
    <t xml:space="preserve">ใช้สีเน้นหลายจุดจนไม่รู้จุดไหนสำคัญ</t>
  </si>
  <si>
    <t xml:space="preserve">คุมสีเน้น (แดง) ที่จุดสำคัญสุดจุดเดียว ตาม 70:25:5</t>
  </si>
  <si>
    <t xml:space="preserve">70:25:5</t>
  </si>
  <si>
    <t xml:space="preserve">หัวฟอร์มไม่ครบ</t>
  </si>
  <si>
    <t xml:space="preserve">ฟอร์มขาด No./วันที่/ผู้อนุมัติ/ช่องประเภท</t>
  </si>
  <si>
    <t xml:space="preserve">เติมหัวฟอร์มมาตรฐานให้ครบ (สอบกลับได้ JIPM)</t>
  </si>
  <si>
    <t xml:space="preserve">วางมั่ว อ่านไม่ไหล</t>
  </si>
  <si>
    <t xml:space="preserve">ลำดับการอ่านยังสับสน</t>
  </si>
  <si>
    <t xml:space="preserve">จัดเป็นโซน/ขั้นตอน ไหลซ้าย→ขวา บน→ล่าง</t>
  </si>
  <si>
    <t xml:space="preserve">กฎ #4</t>
  </si>
  <si>
    <t xml:space="preserve">เนื้อหาเกิน 5 นาที</t>
  </si>
  <si>
    <t xml:space="preserve">เนื้อหามากเกินถ่ายทอดใน 5 นาที</t>
  </si>
  <si>
    <t xml:space="preserve">ตัดให้พอดี 5 นาที ส่วนเกินแยกใบใหม่</t>
  </si>
  <si>
    <r>
      <rPr>
        <b val="true"/>
        <sz val="8"/>
        <color rgb="FFC62828"/>
        <rFont val="Tahoma"/>
        <family val="0"/>
        <charset val="1"/>
      </rPr>
      <t xml:space="preserve">5</t>
    </r>
    <r>
      <rPr>
        <b val="true"/>
        <sz val="8"/>
        <color rgb="FFC62828"/>
        <rFont val="DejaVu Sans"/>
        <family val="2"/>
      </rPr>
      <t xml:space="preserve">分間教育</t>
    </r>
  </si>
  <si>
    <t xml:space="preserve">ไม่มีช่องบันทึกผู้เรียน</t>
  </si>
  <si>
    <t xml:space="preserve">ไม่มีตาราง tracking การถ่ายทอด</t>
  </si>
  <si>
    <t xml:space="preserve">เพิ่มตารางชื่อผู้สอน/ผู้เรียน/วันที่ ใต้แผ่น</t>
  </si>
  <si>
    <t xml:space="preserve">ไม่ขยายผล</t>
  </si>
  <si>
    <t xml:space="preserve">ยังไม่ระบุการนำไปใช้จุดอื่น (Yokoten)</t>
  </si>
  <si>
    <t xml:space="preserve">เพิ่มช่อง 'ขยายผลที่ไหน' + ผูกกับ CIL/มาตรฐาน AM-PM</t>
  </si>
</sst>
</file>

<file path=xl/styles.xml><?xml version="1.0" encoding="utf-8"?>
<styleSheet xmlns="http://schemas.openxmlformats.org/spreadsheetml/2006/main">
  <numFmts count="1">
    <numFmt numFmtId="164" formatCode="General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Tahoma"/>
      <family val="0"/>
      <charset val="1"/>
    </font>
    <font>
      <sz val="9"/>
      <color rgb="FFFFFFFF"/>
      <name val="Tahoma"/>
      <family val="0"/>
      <charset val="1"/>
    </font>
    <font>
      <b val="true"/>
      <sz val="12"/>
      <color rgb="FF1B5E20"/>
      <name val="Tahoma"/>
      <family val="0"/>
      <charset val="1"/>
    </font>
    <font>
      <b val="true"/>
      <sz val="10"/>
      <color rgb="FF2E7D32"/>
      <name val="Tahoma"/>
      <family val="0"/>
      <charset val="1"/>
    </font>
    <font>
      <sz val="10"/>
      <color rgb="FF263238"/>
      <name val="DejaVu Sans"/>
      <family val="2"/>
    </font>
    <font>
      <sz val="10"/>
      <color rgb="FF263238"/>
      <name val="Tahoma"/>
      <family val="0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263238"/>
      <name val="Tahoma"/>
      <family val="0"/>
      <charset val="1"/>
    </font>
    <font>
      <sz val="9"/>
      <color rgb="FF263238"/>
      <name val="Tahoma"/>
      <family val="0"/>
      <charset val="1"/>
    </font>
    <font>
      <b val="true"/>
      <sz val="10"/>
      <color rgb="FF1B5E20"/>
      <name val="Tahoma"/>
      <family val="0"/>
      <charset val="1"/>
    </font>
    <font>
      <b val="true"/>
      <sz val="11"/>
      <color rgb="FF1B5E20"/>
      <name val="Tahoma"/>
      <family val="0"/>
      <charset val="1"/>
    </font>
    <font>
      <sz val="8"/>
      <color rgb="FF546E7A"/>
      <name val="Tahoma"/>
      <family val="0"/>
      <charset val="1"/>
    </font>
    <font>
      <sz val="8"/>
      <color rgb="FF263238"/>
      <name val="Tahoma"/>
      <family val="0"/>
      <charset val="1"/>
    </font>
    <font>
      <sz val="9"/>
      <color rgb="FF263238"/>
      <name val="DejaVu Sans"/>
      <family val="2"/>
    </font>
    <font>
      <sz val="8"/>
      <color rgb="FF546E7A"/>
      <name val="DejaVu Sans"/>
      <family val="2"/>
    </font>
    <font>
      <sz val="9"/>
      <color rgb="FFFFFFFF"/>
      <name val="DejaVu Sans"/>
      <family val="2"/>
    </font>
    <font>
      <b val="true"/>
      <sz val="9"/>
      <color rgb="FF2E7D32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color rgb="FF1565C0"/>
      <name val="Tahoma"/>
      <family val="0"/>
      <charset val="1"/>
    </font>
    <font>
      <b val="true"/>
      <sz val="10"/>
      <color rgb="FFFFFFFF"/>
      <name val="DejaVu Sans"/>
      <family val="2"/>
    </font>
    <font>
      <b val="true"/>
      <sz val="13"/>
      <color rgb="FFFFFFFF"/>
      <name val="Tahoma"/>
      <family val="0"/>
      <charset val="1"/>
    </font>
    <font>
      <b val="true"/>
      <sz val="16"/>
      <color rgb="FF1B5E20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b val="true"/>
      <sz val="12"/>
      <color rgb="FF263238"/>
      <name val="Tahoma"/>
      <family val="0"/>
      <charset val="1"/>
    </font>
    <font>
      <sz val="8"/>
      <color rgb="FFC62828"/>
      <name val="Tahoma"/>
      <family val="0"/>
      <charset val="1"/>
    </font>
    <font>
      <b val="true"/>
      <sz val="9"/>
      <color rgb="FF263238"/>
      <name val="DejaVu Sans"/>
      <family val="2"/>
    </font>
    <font>
      <b val="true"/>
      <sz val="8"/>
      <color rgb="FF1565C0"/>
      <name val="Tahoma"/>
      <family val="0"/>
      <charset val="1"/>
    </font>
    <font>
      <b val="true"/>
      <sz val="9"/>
      <color rgb="FF1B5E20"/>
      <name val="Tahoma"/>
      <family val="0"/>
      <charset val="1"/>
    </font>
    <font>
      <sz val="8"/>
      <color rgb="FF1565C0"/>
      <name val="Tahoma"/>
      <family val="0"/>
      <charset val="1"/>
    </font>
    <font>
      <b val="true"/>
      <sz val="8"/>
      <color rgb="FFC62828"/>
      <name val="Tahoma"/>
      <family val="0"/>
      <charset val="1"/>
    </font>
    <font>
      <b val="true"/>
      <sz val="8"/>
      <color rgb="FFC62828"/>
      <name val="DejaVu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263238"/>
        <bgColor rgb="FF333300"/>
      </patternFill>
    </fill>
    <fill>
      <patternFill patternType="solid">
        <fgColor rgb="FFE8F5E9"/>
        <bgColor rgb="FFFFFFFF"/>
      </patternFill>
    </fill>
    <fill>
      <patternFill patternType="solid">
        <fgColor rgb="FFA5D6A7"/>
        <bgColor rgb="FFB0BEC5"/>
      </patternFill>
    </fill>
    <fill>
      <patternFill patternType="solid">
        <fgColor rgb="FFC8E6C9"/>
        <bgColor rgb="FFE8F5E9"/>
      </patternFill>
    </fill>
    <fill>
      <patternFill patternType="solid">
        <fgColor rgb="FFFFE082"/>
        <bgColor rgb="FFFFFF99"/>
      </patternFill>
    </fill>
    <fill>
      <patternFill patternType="solid">
        <fgColor rgb="FFEF9A9A"/>
        <bgColor rgb="FFFF8080"/>
      </patternFill>
    </fill>
    <fill>
      <patternFill patternType="solid">
        <fgColor rgb="FFFFF9C4"/>
        <bgColor rgb="FFFFFF99"/>
      </patternFill>
    </fill>
    <fill>
      <patternFill patternType="solid">
        <fgColor rgb="FFFFFFFF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A5D6A7"/>
        </patternFill>
      </fill>
    </dxf>
    <dxf>
      <fill>
        <patternFill>
          <bgColor rgb="FFC8E6C9"/>
        </patternFill>
      </fill>
    </dxf>
    <dxf>
      <fill>
        <patternFill>
          <bgColor rgb="FFFFE082"/>
        </patternFill>
      </fill>
    </dxf>
    <dxf>
      <fill>
        <patternFill>
          <bgColor rgb="FFEF9A9A"/>
        </patternFill>
      </fill>
    </dxf>
    <dxf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9C4"/>
      <rgbColor rgb="FFE8F5E9"/>
      <rgbColor rgb="FF660066"/>
      <rgbColor rgb="FFFF8080"/>
      <rgbColor rgb="FF1565C0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A5D6A7"/>
      <rgbColor rgb="FFEF9A9A"/>
      <rgbColor rgb="FFCC99FF"/>
      <rgbColor rgb="FFFFE082"/>
      <rgbColor rgb="FF3366FF"/>
      <rgbColor rgb="FF33CCCC"/>
      <rgbColor rgb="FF99CC00"/>
      <rgbColor rgb="FFFFCC00"/>
      <rgbColor rgb="FFFF9900"/>
      <rgbColor rgb="FFFF6600"/>
      <rgbColor rgb="FF546E7A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B4" s="3" t="s">
        <v>2</v>
      </c>
    </row>
    <row r="5" customFormat="false" ht="23.85" hidden="false" customHeight="true" outlineLevel="0" collapsed="false">
      <c r="B5" s="4" t="s">
        <v>3</v>
      </c>
      <c r="C5" s="5" t="s">
        <v>4</v>
      </c>
      <c r="D5" s="5"/>
    </row>
    <row r="6" customFormat="false" ht="15" hidden="false" customHeight="true" outlineLevel="0" collapsed="false">
      <c r="B6" s="4" t="s">
        <v>5</v>
      </c>
      <c r="C6" s="6" t="s">
        <v>6</v>
      </c>
      <c r="D6" s="6"/>
    </row>
    <row r="7" customFormat="false" ht="23.85" hidden="false" customHeight="true" outlineLevel="0" collapsed="false">
      <c r="B7" s="4" t="s">
        <v>7</v>
      </c>
      <c r="C7" s="6" t="s">
        <v>8</v>
      </c>
      <c r="D7" s="6"/>
    </row>
    <row r="8" customFormat="false" ht="23.85" hidden="false" customHeight="true" outlineLevel="0" collapsed="false">
      <c r="B8" s="4" t="s">
        <v>9</v>
      </c>
      <c r="C8" s="6" t="s">
        <v>10</v>
      </c>
      <c r="D8" s="6"/>
    </row>
    <row r="10" customFormat="false" ht="15" hidden="false" customHeight="false" outlineLevel="0" collapsed="false">
      <c r="B10" s="3" t="s">
        <v>11</v>
      </c>
    </row>
    <row r="11" customFormat="false" ht="15" hidden="false" customHeight="true" outlineLevel="0" collapsed="false">
      <c r="B11" s="4" t="s">
        <v>12</v>
      </c>
      <c r="C11" s="5" t="s">
        <v>13</v>
      </c>
      <c r="D11" s="5"/>
    </row>
    <row r="12" customFormat="false" ht="15" hidden="false" customHeight="true" outlineLevel="0" collapsed="false">
      <c r="B12" s="4" t="s">
        <v>14</v>
      </c>
      <c r="C12" s="5" t="s">
        <v>15</v>
      </c>
      <c r="D12" s="5"/>
    </row>
    <row r="13" customFormat="false" ht="23.85" hidden="false" customHeight="true" outlineLevel="0" collapsed="false">
      <c r="B13" s="4" t="s">
        <v>16</v>
      </c>
      <c r="C13" s="5" t="s">
        <v>17</v>
      </c>
      <c r="D13" s="5"/>
    </row>
    <row r="15" customFormat="false" ht="15" hidden="false" customHeight="false" outlineLevel="0" collapsed="false">
      <c r="B15" s="3" t="s">
        <v>18</v>
      </c>
    </row>
    <row r="16" customFormat="false" ht="15" hidden="false" customHeight="false" outlineLevel="0" collapsed="false">
      <c r="B16" s="7" t="s">
        <v>19</v>
      </c>
      <c r="C16" s="7" t="s">
        <v>20</v>
      </c>
      <c r="D16" s="7" t="s">
        <v>21</v>
      </c>
    </row>
    <row r="17" customFormat="false" ht="30" hidden="false" customHeight="true" outlineLevel="0" collapsed="false">
      <c r="B17" s="8" t="s">
        <v>22</v>
      </c>
      <c r="C17" s="9" t="s">
        <v>23</v>
      </c>
      <c r="D17" s="8" t="n">
        <v>15</v>
      </c>
    </row>
    <row r="18" customFormat="false" ht="30" hidden="false" customHeight="true" outlineLevel="0" collapsed="false">
      <c r="B18" s="8" t="s">
        <v>24</v>
      </c>
      <c r="C18" s="9" t="s">
        <v>25</v>
      </c>
      <c r="D18" s="8" t="n">
        <v>20</v>
      </c>
    </row>
    <row r="19" customFormat="false" ht="30" hidden="false" customHeight="true" outlineLevel="0" collapsed="false">
      <c r="B19" s="8" t="s">
        <v>26</v>
      </c>
      <c r="C19" s="9" t="s">
        <v>27</v>
      </c>
      <c r="D19" s="8" t="n">
        <v>25</v>
      </c>
    </row>
    <row r="20" customFormat="false" ht="30" hidden="false" customHeight="true" outlineLevel="0" collapsed="false">
      <c r="B20" s="8" t="s">
        <v>28</v>
      </c>
      <c r="C20" s="9" t="s">
        <v>29</v>
      </c>
      <c r="D20" s="8" t="n">
        <v>15</v>
      </c>
    </row>
    <row r="21" customFormat="false" ht="30" hidden="false" customHeight="true" outlineLevel="0" collapsed="false">
      <c r="B21" s="8" t="s">
        <v>30</v>
      </c>
      <c r="C21" s="9" t="s">
        <v>31</v>
      </c>
      <c r="D21" s="8" t="n">
        <v>10</v>
      </c>
    </row>
    <row r="22" customFormat="false" ht="30" hidden="false" customHeight="true" outlineLevel="0" collapsed="false">
      <c r="B22" s="8" t="s">
        <v>32</v>
      </c>
      <c r="C22" s="9" t="s">
        <v>33</v>
      </c>
      <c r="D22" s="8" t="n">
        <v>15</v>
      </c>
    </row>
    <row r="23" customFormat="false" ht="15" hidden="false" customHeight="false" outlineLevel="0" collapsed="false">
      <c r="B23" s="10"/>
      <c r="C23" s="11" t="s">
        <v>34</v>
      </c>
      <c r="D23" s="12" t="n">
        <v>100</v>
      </c>
    </row>
    <row r="25" customFormat="false" ht="15" hidden="false" customHeight="false" outlineLevel="0" collapsed="false">
      <c r="B25" s="3" t="s">
        <v>35</v>
      </c>
    </row>
    <row r="26" customFormat="false" ht="15" hidden="false" customHeight="false" outlineLevel="0" collapsed="false">
      <c r="B26" s="7" t="s">
        <v>36</v>
      </c>
      <c r="C26" s="7" t="s">
        <v>37</v>
      </c>
      <c r="D26" s="7" t="s">
        <v>38</v>
      </c>
    </row>
    <row r="27" customFormat="false" ht="22.35" hidden="false" customHeight="false" outlineLevel="0" collapsed="false">
      <c r="B27" s="13" t="s">
        <v>39</v>
      </c>
      <c r="C27" s="14" t="s">
        <v>40</v>
      </c>
      <c r="D27" s="9" t="s">
        <v>41</v>
      </c>
    </row>
    <row r="28" customFormat="false" ht="15" hidden="false" customHeight="false" outlineLevel="0" collapsed="false">
      <c r="B28" s="15" t="s">
        <v>42</v>
      </c>
      <c r="C28" s="14" t="s">
        <v>43</v>
      </c>
      <c r="D28" s="9" t="s">
        <v>44</v>
      </c>
    </row>
    <row r="29" customFormat="false" ht="15" hidden="false" customHeight="false" outlineLevel="0" collapsed="false">
      <c r="B29" s="16" t="s">
        <v>45</v>
      </c>
      <c r="C29" s="14" t="s">
        <v>46</v>
      </c>
      <c r="D29" s="9" t="s">
        <v>47</v>
      </c>
    </row>
    <row r="30" customFormat="false" ht="15" hidden="false" customHeight="false" outlineLevel="0" collapsed="false">
      <c r="B30" s="17" t="s">
        <v>48</v>
      </c>
      <c r="C30" s="14" t="s">
        <v>49</v>
      </c>
      <c r="D30" s="9" t="s">
        <v>50</v>
      </c>
    </row>
    <row r="32" customFormat="false" ht="15" hidden="false" customHeight="false" outlineLevel="0" collapsed="false">
      <c r="B32" s="3" t="s">
        <v>51</v>
      </c>
    </row>
    <row r="33" customFormat="false" ht="24" hidden="false" customHeight="true" outlineLevel="0" collapsed="false">
      <c r="B33" s="18" t="s">
        <v>52</v>
      </c>
      <c r="C33" s="18"/>
      <c r="D33" s="18"/>
    </row>
    <row r="34" customFormat="false" ht="24" hidden="false" customHeight="true" outlineLevel="0" collapsed="false">
      <c r="B34" s="18" t="s">
        <v>53</v>
      </c>
      <c r="C34" s="18"/>
      <c r="D34" s="18"/>
    </row>
    <row r="35" customFormat="false" ht="24" hidden="false" customHeight="true" outlineLevel="0" collapsed="false">
      <c r="B35" s="18" t="s">
        <v>54</v>
      </c>
      <c r="C35" s="18"/>
      <c r="D35" s="18"/>
    </row>
  </sheetData>
  <mergeCells count="12">
    <mergeCell ref="A1:D1"/>
    <mergeCell ref="A2:D2"/>
    <mergeCell ref="C5:D5"/>
    <mergeCell ref="C6:D6"/>
    <mergeCell ref="C7:D7"/>
    <mergeCell ref="C8:D8"/>
    <mergeCell ref="C11:D11"/>
    <mergeCell ref="C12:D12"/>
    <mergeCell ref="C13:D13"/>
    <mergeCell ref="B33:D33"/>
    <mergeCell ref="B34:D34"/>
    <mergeCell ref="B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55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56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7" t="s">
        <v>57</v>
      </c>
      <c r="B3" s="7" t="s">
        <v>58</v>
      </c>
      <c r="C3" s="7" t="s">
        <v>59</v>
      </c>
      <c r="D3" s="7" t="s">
        <v>60</v>
      </c>
      <c r="E3" s="7" t="s">
        <v>19</v>
      </c>
      <c r="F3" s="7" t="s">
        <v>61</v>
      </c>
    </row>
    <row r="4" customFormat="false" ht="31.5" hidden="false" customHeight="true" outlineLevel="0" collapsed="false">
      <c r="A4" s="8" t="s">
        <v>62</v>
      </c>
      <c r="B4" s="9" t="s">
        <v>63</v>
      </c>
      <c r="C4" s="19" t="s">
        <v>64</v>
      </c>
      <c r="D4" s="8" t="n">
        <v>5</v>
      </c>
      <c r="E4" s="20" t="s">
        <v>22</v>
      </c>
      <c r="F4" s="21" t="s">
        <v>65</v>
      </c>
    </row>
    <row r="5" customFormat="false" ht="31.5" hidden="false" customHeight="true" outlineLevel="0" collapsed="false">
      <c r="A5" s="8" t="s">
        <v>66</v>
      </c>
      <c r="B5" s="9" t="s">
        <v>67</v>
      </c>
      <c r="C5" s="19" t="s">
        <v>68</v>
      </c>
      <c r="D5" s="8" t="n">
        <v>5</v>
      </c>
      <c r="E5" s="20" t="s">
        <v>22</v>
      </c>
      <c r="F5" s="21" t="s">
        <v>65</v>
      </c>
    </row>
    <row r="6" customFormat="false" ht="31.5" hidden="false" customHeight="true" outlineLevel="0" collapsed="false">
      <c r="A6" s="8" t="s">
        <v>69</v>
      </c>
      <c r="B6" s="9" t="s">
        <v>70</v>
      </c>
      <c r="C6" s="19" t="s">
        <v>71</v>
      </c>
      <c r="D6" s="8" t="n">
        <v>5</v>
      </c>
      <c r="E6" s="20" t="s">
        <v>22</v>
      </c>
      <c r="F6" s="21" t="s">
        <v>65</v>
      </c>
    </row>
    <row r="7" customFormat="false" ht="31.5" hidden="false" customHeight="true" outlineLevel="0" collapsed="false">
      <c r="A7" s="8" t="s">
        <v>72</v>
      </c>
      <c r="B7" s="9" t="s">
        <v>73</v>
      </c>
      <c r="C7" s="19" t="s">
        <v>74</v>
      </c>
      <c r="D7" s="8" t="n">
        <v>8</v>
      </c>
      <c r="E7" s="20" t="s">
        <v>24</v>
      </c>
      <c r="F7" s="21" t="s">
        <v>75</v>
      </c>
    </row>
    <row r="8" customFormat="false" ht="31.5" hidden="false" customHeight="true" outlineLevel="0" collapsed="false">
      <c r="A8" s="8" t="s">
        <v>76</v>
      </c>
      <c r="B8" s="9" t="s">
        <v>77</v>
      </c>
      <c r="C8" s="19" t="s">
        <v>78</v>
      </c>
      <c r="D8" s="8" t="n">
        <v>7</v>
      </c>
      <c r="E8" s="20" t="s">
        <v>24</v>
      </c>
      <c r="F8" s="21" t="s">
        <v>75</v>
      </c>
    </row>
    <row r="9" customFormat="false" ht="31.5" hidden="false" customHeight="true" outlineLevel="0" collapsed="false">
      <c r="A9" s="8" t="s">
        <v>79</v>
      </c>
      <c r="B9" s="9" t="s">
        <v>80</v>
      </c>
      <c r="C9" s="19" t="s">
        <v>81</v>
      </c>
      <c r="D9" s="8" t="n">
        <v>5</v>
      </c>
      <c r="E9" s="20" t="s">
        <v>24</v>
      </c>
      <c r="F9" s="21" t="s">
        <v>75</v>
      </c>
    </row>
    <row r="10" customFormat="false" ht="31.5" hidden="false" customHeight="true" outlineLevel="0" collapsed="false">
      <c r="A10" s="8" t="s">
        <v>72</v>
      </c>
      <c r="B10" s="9" t="s">
        <v>82</v>
      </c>
      <c r="C10" s="19" t="s">
        <v>83</v>
      </c>
      <c r="D10" s="8" t="n">
        <v>6</v>
      </c>
      <c r="E10" s="20" t="s">
        <v>24</v>
      </c>
      <c r="F10" s="21" t="s">
        <v>84</v>
      </c>
    </row>
    <row r="11" customFormat="false" ht="31.5" hidden="false" customHeight="true" outlineLevel="0" collapsed="false">
      <c r="A11" s="8" t="s">
        <v>76</v>
      </c>
      <c r="B11" s="9" t="s">
        <v>85</v>
      </c>
      <c r="C11" s="19" t="s">
        <v>86</v>
      </c>
      <c r="D11" s="8" t="n">
        <v>8</v>
      </c>
      <c r="E11" s="20" t="s">
        <v>24</v>
      </c>
      <c r="F11" s="21" t="s">
        <v>84</v>
      </c>
    </row>
    <row r="12" customFormat="false" ht="31.5" hidden="false" customHeight="true" outlineLevel="0" collapsed="false">
      <c r="A12" s="8" t="s">
        <v>79</v>
      </c>
      <c r="B12" s="9" t="s">
        <v>87</v>
      </c>
      <c r="C12" s="19" t="s">
        <v>88</v>
      </c>
      <c r="D12" s="8" t="n">
        <v>6</v>
      </c>
      <c r="E12" s="20" t="s">
        <v>24</v>
      </c>
      <c r="F12" s="21" t="s">
        <v>84</v>
      </c>
    </row>
    <row r="13" customFormat="false" ht="31.5" hidden="false" customHeight="true" outlineLevel="0" collapsed="false">
      <c r="A13" s="8" t="s">
        <v>72</v>
      </c>
      <c r="B13" s="9" t="s">
        <v>89</v>
      </c>
      <c r="C13" s="19" t="s">
        <v>90</v>
      </c>
      <c r="D13" s="8" t="n">
        <v>6</v>
      </c>
      <c r="E13" s="20" t="s">
        <v>24</v>
      </c>
      <c r="F13" s="21" t="s">
        <v>91</v>
      </c>
    </row>
    <row r="14" customFormat="false" ht="31.5" hidden="false" customHeight="true" outlineLevel="0" collapsed="false">
      <c r="A14" s="8" t="s">
        <v>76</v>
      </c>
      <c r="B14" s="9" t="s">
        <v>92</v>
      </c>
      <c r="C14" s="19" t="s">
        <v>93</v>
      </c>
      <c r="D14" s="8" t="n">
        <v>8</v>
      </c>
      <c r="E14" s="20" t="s">
        <v>24</v>
      </c>
      <c r="F14" s="21" t="s">
        <v>91</v>
      </c>
    </row>
    <row r="15" customFormat="false" ht="31.5" hidden="false" customHeight="true" outlineLevel="0" collapsed="false">
      <c r="A15" s="8" t="s">
        <v>79</v>
      </c>
      <c r="B15" s="9" t="s">
        <v>94</v>
      </c>
      <c r="C15" s="19" t="s">
        <v>95</v>
      </c>
      <c r="D15" s="8" t="n">
        <v>6</v>
      </c>
      <c r="E15" s="20" t="s">
        <v>24</v>
      </c>
      <c r="F15" s="21" t="s">
        <v>91</v>
      </c>
    </row>
    <row r="16" customFormat="false" ht="31.5" hidden="false" customHeight="true" outlineLevel="0" collapsed="false">
      <c r="A16" s="8" t="s">
        <v>96</v>
      </c>
      <c r="B16" s="9" t="s">
        <v>97</v>
      </c>
      <c r="C16" s="19" t="s">
        <v>98</v>
      </c>
      <c r="D16" s="8" t="n">
        <v>6</v>
      </c>
      <c r="E16" s="20" t="s">
        <v>26</v>
      </c>
      <c r="F16" s="21" t="s">
        <v>65</v>
      </c>
    </row>
    <row r="17" customFormat="false" ht="31.5" hidden="false" customHeight="true" outlineLevel="0" collapsed="false">
      <c r="A17" s="8" t="s">
        <v>99</v>
      </c>
      <c r="B17" s="9" t="s">
        <v>100</v>
      </c>
      <c r="C17" s="19" t="s">
        <v>101</v>
      </c>
      <c r="D17" s="8" t="n">
        <v>6</v>
      </c>
      <c r="E17" s="20" t="s">
        <v>26</v>
      </c>
      <c r="F17" s="21" t="s">
        <v>65</v>
      </c>
    </row>
    <row r="18" customFormat="false" ht="31.5" hidden="false" customHeight="true" outlineLevel="0" collapsed="false">
      <c r="A18" s="8" t="s">
        <v>102</v>
      </c>
      <c r="B18" s="9" t="s">
        <v>103</v>
      </c>
      <c r="C18" s="19" t="s">
        <v>104</v>
      </c>
      <c r="D18" s="8" t="n">
        <v>5</v>
      </c>
      <c r="E18" s="20" t="s">
        <v>26</v>
      </c>
      <c r="F18" s="21" t="s">
        <v>65</v>
      </c>
    </row>
    <row r="19" customFormat="false" ht="31.5" hidden="false" customHeight="true" outlineLevel="0" collapsed="false">
      <c r="A19" s="8" t="s">
        <v>105</v>
      </c>
      <c r="B19" s="9" t="s">
        <v>106</v>
      </c>
      <c r="C19" s="19" t="s">
        <v>107</v>
      </c>
      <c r="D19" s="8" t="n">
        <v>4</v>
      </c>
      <c r="E19" s="20" t="s">
        <v>26</v>
      </c>
      <c r="F19" s="21" t="s">
        <v>65</v>
      </c>
    </row>
    <row r="20" customFormat="false" ht="31.5" hidden="false" customHeight="true" outlineLevel="0" collapsed="false">
      <c r="A20" s="8" t="s">
        <v>108</v>
      </c>
      <c r="B20" s="9" t="s">
        <v>109</v>
      </c>
      <c r="C20" s="19" t="s">
        <v>110</v>
      </c>
      <c r="D20" s="8" t="n">
        <v>4</v>
      </c>
      <c r="E20" s="20" t="s">
        <v>26</v>
      </c>
      <c r="F20" s="21" t="s">
        <v>65</v>
      </c>
    </row>
    <row r="21" customFormat="false" ht="31.5" hidden="false" customHeight="true" outlineLevel="0" collapsed="false">
      <c r="A21" s="8" t="s">
        <v>111</v>
      </c>
      <c r="B21" s="9" t="s">
        <v>112</v>
      </c>
      <c r="C21" s="19" t="s">
        <v>113</v>
      </c>
      <c r="D21" s="8" t="n">
        <v>5</v>
      </c>
      <c r="E21" s="20" t="s">
        <v>28</v>
      </c>
      <c r="F21" s="21" t="s">
        <v>65</v>
      </c>
    </row>
    <row r="22" customFormat="false" ht="31.5" hidden="false" customHeight="true" outlineLevel="0" collapsed="false">
      <c r="A22" s="8" t="s">
        <v>114</v>
      </c>
      <c r="B22" s="9" t="s">
        <v>115</v>
      </c>
      <c r="C22" s="19" t="s">
        <v>116</v>
      </c>
      <c r="D22" s="8" t="n">
        <v>5</v>
      </c>
      <c r="E22" s="20" t="s">
        <v>28</v>
      </c>
      <c r="F22" s="21" t="s">
        <v>65</v>
      </c>
    </row>
    <row r="23" customFormat="false" ht="31.5" hidden="false" customHeight="true" outlineLevel="0" collapsed="false">
      <c r="A23" s="8" t="s">
        <v>117</v>
      </c>
      <c r="B23" s="9" t="s">
        <v>118</v>
      </c>
      <c r="C23" s="19" t="s">
        <v>119</v>
      </c>
      <c r="D23" s="8" t="n">
        <v>5</v>
      </c>
      <c r="E23" s="20" t="s">
        <v>28</v>
      </c>
      <c r="F23" s="21" t="s">
        <v>65</v>
      </c>
    </row>
    <row r="24" customFormat="false" ht="31.5" hidden="false" customHeight="true" outlineLevel="0" collapsed="false">
      <c r="A24" s="8" t="s">
        <v>120</v>
      </c>
      <c r="B24" s="9" t="s">
        <v>121</v>
      </c>
      <c r="C24" s="19" t="s">
        <v>122</v>
      </c>
      <c r="D24" s="8" t="n">
        <v>4</v>
      </c>
      <c r="E24" s="20" t="s">
        <v>30</v>
      </c>
      <c r="F24" s="21" t="s">
        <v>65</v>
      </c>
    </row>
    <row r="25" customFormat="false" ht="31.5" hidden="false" customHeight="true" outlineLevel="0" collapsed="false">
      <c r="A25" s="8" t="s">
        <v>123</v>
      </c>
      <c r="B25" s="9" t="s">
        <v>124</v>
      </c>
      <c r="C25" s="19" t="s">
        <v>125</v>
      </c>
      <c r="D25" s="8" t="n">
        <v>3</v>
      </c>
      <c r="E25" s="20" t="s">
        <v>30</v>
      </c>
      <c r="F25" s="21" t="s">
        <v>65</v>
      </c>
    </row>
    <row r="26" customFormat="false" ht="31.5" hidden="false" customHeight="true" outlineLevel="0" collapsed="false">
      <c r="A26" s="8" t="s">
        <v>126</v>
      </c>
      <c r="B26" s="9" t="s">
        <v>127</v>
      </c>
      <c r="C26" s="19" t="s">
        <v>128</v>
      </c>
      <c r="D26" s="8" t="n">
        <v>3</v>
      </c>
      <c r="E26" s="20" t="s">
        <v>30</v>
      </c>
      <c r="F26" s="21" t="s">
        <v>65</v>
      </c>
    </row>
    <row r="27" customFormat="false" ht="31.5" hidden="false" customHeight="true" outlineLevel="0" collapsed="false">
      <c r="A27" s="8" t="s">
        <v>129</v>
      </c>
      <c r="B27" s="9" t="s">
        <v>130</v>
      </c>
      <c r="C27" s="19" t="s">
        <v>131</v>
      </c>
      <c r="D27" s="8" t="n">
        <v>6</v>
      </c>
      <c r="E27" s="20" t="s">
        <v>32</v>
      </c>
      <c r="F27" s="21" t="s">
        <v>65</v>
      </c>
    </row>
    <row r="28" customFormat="false" ht="31.5" hidden="false" customHeight="true" outlineLevel="0" collapsed="false">
      <c r="A28" s="8" t="s">
        <v>132</v>
      </c>
      <c r="B28" s="9" t="s">
        <v>133</v>
      </c>
      <c r="C28" s="19" t="s">
        <v>134</v>
      </c>
      <c r="D28" s="8" t="n">
        <v>5</v>
      </c>
      <c r="E28" s="20" t="s">
        <v>32</v>
      </c>
      <c r="F28" s="21" t="s">
        <v>65</v>
      </c>
    </row>
    <row r="29" customFormat="false" ht="31.5" hidden="false" customHeight="true" outlineLevel="0" collapsed="false">
      <c r="A29" s="8" t="s">
        <v>135</v>
      </c>
      <c r="B29" s="9" t="s">
        <v>136</v>
      </c>
      <c r="C29" s="19" t="s">
        <v>137</v>
      </c>
      <c r="D29" s="8" t="n">
        <v>4</v>
      </c>
      <c r="E29" s="20" t="s">
        <v>32</v>
      </c>
      <c r="F29" s="21" t="s">
        <v>65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26"/>
  </cols>
  <sheetData>
    <row r="1" customFormat="false" ht="30" hidden="false" customHeight="true" outlineLevel="0" collapsed="false">
      <c r="A1" s="1" t="s">
        <v>138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139</v>
      </c>
      <c r="B2" s="2"/>
      <c r="C2" s="2"/>
      <c r="D2" s="2"/>
      <c r="E2" s="2"/>
      <c r="F2" s="2"/>
    </row>
    <row r="3" customFormat="false" ht="32.8" hidden="false" customHeight="false" outlineLevel="0" collapsed="false">
      <c r="A3" s="22" t="s">
        <v>140</v>
      </c>
      <c r="B3" s="10"/>
      <c r="C3" s="10"/>
      <c r="D3" s="22" t="s">
        <v>141</v>
      </c>
      <c r="E3" s="10"/>
      <c r="F3" s="10"/>
    </row>
    <row r="4" customFormat="false" ht="32.8" hidden="false" customHeight="false" outlineLevel="0" collapsed="false">
      <c r="A4" s="22" t="s">
        <v>142</v>
      </c>
      <c r="B4" s="10"/>
      <c r="C4" s="10"/>
      <c r="D4" s="22" t="s">
        <v>143</v>
      </c>
      <c r="E4" s="10"/>
      <c r="F4" s="10"/>
    </row>
    <row r="5" customFormat="false" ht="27.75" hidden="false" customHeight="true" outlineLevel="0" collapsed="false">
      <c r="A5" s="7" t="s">
        <v>57</v>
      </c>
      <c r="B5" s="7" t="s">
        <v>144</v>
      </c>
      <c r="C5" s="7" t="s">
        <v>145</v>
      </c>
      <c r="D5" s="7" t="s">
        <v>60</v>
      </c>
      <c r="E5" s="7" t="s">
        <v>146</v>
      </c>
      <c r="F5" s="7" t="s">
        <v>147</v>
      </c>
    </row>
    <row r="6" customFormat="false" ht="19.5" hidden="false" customHeight="true" outlineLevel="0" collapsed="false">
      <c r="A6" s="23" t="s">
        <v>148</v>
      </c>
      <c r="B6" s="23"/>
      <c r="C6" s="23"/>
      <c r="D6" s="23"/>
      <c r="E6" s="23"/>
      <c r="F6" s="23"/>
    </row>
    <row r="7" customFormat="false" ht="33.75" hidden="false" customHeight="true" outlineLevel="0" collapsed="false">
      <c r="A7" s="8" t="s">
        <v>62</v>
      </c>
      <c r="B7" s="9" t="s">
        <v>63</v>
      </c>
      <c r="C7" s="19" t="s">
        <v>64</v>
      </c>
      <c r="D7" s="8" t="n">
        <v>5</v>
      </c>
      <c r="E7" s="24"/>
      <c r="F7" s="21"/>
    </row>
    <row r="8" customFormat="false" ht="33.75" hidden="false" customHeight="true" outlineLevel="0" collapsed="false">
      <c r="A8" s="8" t="s">
        <v>66</v>
      </c>
      <c r="B8" s="9" t="s">
        <v>67</v>
      </c>
      <c r="C8" s="19" t="s">
        <v>68</v>
      </c>
      <c r="D8" s="8" t="n">
        <v>5</v>
      </c>
      <c r="E8" s="24"/>
      <c r="F8" s="21"/>
    </row>
    <row r="9" customFormat="false" ht="33.75" hidden="false" customHeight="true" outlineLevel="0" collapsed="false">
      <c r="A9" s="8" t="s">
        <v>69</v>
      </c>
      <c r="B9" s="9" t="s">
        <v>70</v>
      </c>
      <c r="C9" s="19" t="s">
        <v>71</v>
      </c>
      <c r="D9" s="8" t="n">
        <v>5</v>
      </c>
      <c r="E9" s="24"/>
      <c r="F9" s="21"/>
    </row>
    <row r="10" customFormat="false" ht="15" hidden="false" customHeight="false" outlineLevel="0" collapsed="false">
      <c r="A10" s="10"/>
      <c r="B10" s="25" t="s">
        <v>149</v>
      </c>
      <c r="C10" s="10"/>
      <c r="D10" s="26" t="n">
        <f aca="false">SUM(D7:D9)</f>
        <v>15</v>
      </c>
      <c r="E10" s="27" t="n">
        <f aca="false">SUM(E7:E9)</f>
        <v>0</v>
      </c>
      <c r="F10" s="10"/>
    </row>
    <row r="12" customFormat="false" ht="19.5" hidden="false" customHeight="true" outlineLevel="0" collapsed="false">
      <c r="A12" s="23" t="s">
        <v>150</v>
      </c>
      <c r="B12" s="23"/>
      <c r="C12" s="23"/>
      <c r="D12" s="23"/>
      <c r="E12" s="23"/>
      <c r="F12" s="23"/>
    </row>
    <row r="13" customFormat="false" ht="33.75" hidden="false" customHeight="true" outlineLevel="0" collapsed="false">
      <c r="A13" s="8" t="s">
        <v>72</v>
      </c>
      <c r="B13" s="9" t="s">
        <v>73</v>
      </c>
      <c r="C13" s="19" t="s">
        <v>74</v>
      </c>
      <c r="D13" s="8" t="n">
        <v>8</v>
      </c>
      <c r="E13" s="24"/>
      <c r="F13" s="21"/>
    </row>
    <row r="14" customFormat="false" ht="33.75" hidden="false" customHeight="true" outlineLevel="0" collapsed="false">
      <c r="A14" s="8" t="s">
        <v>76</v>
      </c>
      <c r="B14" s="9" t="s">
        <v>77</v>
      </c>
      <c r="C14" s="19" t="s">
        <v>78</v>
      </c>
      <c r="D14" s="8" t="n">
        <v>7</v>
      </c>
      <c r="E14" s="24"/>
      <c r="F14" s="21"/>
    </row>
    <row r="15" customFormat="false" ht="33.75" hidden="false" customHeight="true" outlineLevel="0" collapsed="false">
      <c r="A15" s="8" t="s">
        <v>79</v>
      </c>
      <c r="B15" s="9" t="s">
        <v>80</v>
      </c>
      <c r="C15" s="19" t="s">
        <v>81</v>
      </c>
      <c r="D15" s="8" t="n">
        <v>5</v>
      </c>
      <c r="E15" s="24"/>
      <c r="F15" s="21"/>
    </row>
    <row r="16" customFormat="false" ht="15" hidden="false" customHeight="false" outlineLevel="0" collapsed="false">
      <c r="A16" s="10"/>
      <c r="B16" s="25" t="s">
        <v>151</v>
      </c>
      <c r="C16" s="10"/>
      <c r="D16" s="26" t="n">
        <f aca="false">SUM(D13:D15)</f>
        <v>20</v>
      </c>
      <c r="E16" s="27" t="n">
        <f aca="false">SUM(E13:E15)</f>
        <v>0</v>
      </c>
      <c r="F16" s="10"/>
    </row>
    <row r="18" customFormat="false" ht="19.5" hidden="false" customHeight="true" outlineLevel="0" collapsed="false">
      <c r="A18" s="23" t="s">
        <v>152</v>
      </c>
      <c r="B18" s="23"/>
      <c r="C18" s="23"/>
      <c r="D18" s="23"/>
      <c r="E18" s="23"/>
      <c r="F18" s="23"/>
    </row>
    <row r="19" customFormat="false" ht="33.75" hidden="false" customHeight="true" outlineLevel="0" collapsed="false">
      <c r="A19" s="8" t="s">
        <v>96</v>
      </c>
      <c r="B19" s="9" t="s">
        <v>97</v>
      </c>
      <c r="C19" s="19" t="s">
        <v>98</v>
      </c>
      <c r="D19" s="8" t="n">
        <v>6</v>
      </c>
      <c r="E19" s="24"/>
      <c r="F19" s="21"/>
    </row>
    <row r="20" customFormat="false" ht="33.75" hidden="false" customHeight="true" outlineLevel="0" collapsed="false">
      <c r="A20" s="8" t="s">
        <v>99</v>
      </c>
      <c r="B20" s="9" t="s">
        <v>100</v>
      </c>
      <c r="C20" s="19" t="s">
        <v>101</v>
      </c>
      <c r="D20" s="8" t="n">
        <v>6</v>
      </c>
      <c r="E20" s="24"/>
      <c r="F20" s="21"/>
    </row>
    <row r="21" customFormat="false" ht="33.75" hidden="false" customHeight="true" outlineLevel="0" collapsed="false">
      <c r="A21" s="8" t="s">
        <v>102</v>
      </c>
      <c r="B21" s="9" t="s">
        <v>103</v>
      </c>
      <c r="C21" s="19" t="s">
        <v>104</v>
      </c>
      <c r="D21" s="8" t="n">
        <v>5</v>
      </c>
      <c r="E21" s="24"/>
      <c r="F21" s="21"/>
    </row>
    <row r="22" customFormat="false" ht="33.75" hidden="false" customHeight="true" outlineLevel="0" collapsed="false">
      <c r="A22" s="8" t="s">
        <v>105</v>
      </c>
      <c r="B22" s="9" t="s">
        <v>106</v>
      </c>
      <c r="C22" s="19" t="s">
        <v>107</v>
      </c>
      <c r="D22" s="8" t="n">
        <v>4</v>
      </c>
      <c r="E22" s="24"/>
      <c r="F22" s="21"/>
    </row>
    <row r="23" customFormat="false" ht="33.75" hidden="false" customHeight="true" outlineLevel="0" collapsed="false">
      <c r="A23" s="8" t="s">
        <v>108</v>
      </c>
      <c r="B23" s="9" t="s">
        <v>109</v>
      </c>
      <c r="C23" s="19" t="s">
        <v>110</v>
      </c>
      <c r="D23" s="8" t="n">
        <v>4</v>
      </c>
      <c r="E23" s="24"/>
      <c r="F23" s="21"/>
    </row>
    <row r="24" customFormat="false" ht="15" hidden="false" customHeight="false" outlineLevel="0" collapsed="false">
      <c r="A24" s="10"/>
      <c r="B24" s="25" t="s">
        <v>153</v>
      </c>
      <c r="C24" s="10"/>
      <c r="D24" s="26" t="n">
        <f aca="false">SUM(D19:D23)</f>
        <v>25</v>
      </c>
      <c r="E24" s="27" t="n">
        <f aca="false">SUM(E19:E23)</f>
        <v>0</v>
      </c>
      <c r="F24" s="10"/>
    </row>
    <row r="26" customFormat="false" ht="19.5" hidden="false" customHeight="true" outlineLevel="0" collapsed="false">
      <c r="A26" s="23" t="s">
        <v>154</v>
      </c>
      <c r="B26" s="23"/>
      <c r="C26" s="23"/>
      <c r="D26" s="23"/>
      <c r="E26" s="23"/>
      <c r="F26" s="23"/>
    </row>
    <row r="27" customFormat="false" ht="33.75" hidden="false" customHeight="true" outlineLevel="0" collapsed="false">
      <c r="A27" s="8" t="s">
        <v>111</v>
      </c>
      <c r="B27" s="9" t="s">
        <v>112</v>
      </c>
      <c r="C27" s="19" t="s">
        <v>113</v>
      </c>
      <c r="D27" s="8" t="n">
        <v>5</v>
      </c>
      <c r="E27" s="24"/>
      <c r="F27" s="21"/>
    </row>
    <row r="28" customFormat="false" ht="33.75" hidden="false" customHeight="true" outlineLevel="0" collapsed="false">
      <c r="A28" s="8" t="s">
        <v>114</v>
      </c>
      <c r="B28" s="9" t="s">
        <v>115</v>
      </c>
      <c r="C28" s="19" t="s">
        <v>116</v>
      </c>
      <c r="D28" s="8" t="n">
        <v>5</v>
      </c>
      <c r="E28" s="24"/>
      <c r="F28" s="21"/>
    </row>
    <row r="29" customFormat="false" ht="33.75" hidden="false" customHeight="true" outlineLevel="0" collapsed="false">
      <c r="A29" s="8" t="s">
        <v>117</v>
      </c>
      <c r="B29" s="9" t="s">
        <v>118</v>
      </c>
      <c r="C29" s="19" t="s">
        <v>119</v>
      </c>
      <c r="D29" s="8" t="n">
        <v>5</v>
      </c>
      <c r="E29" s="24"/>
      <c r="F29" s="21"/>
    </row>
    <row r="30" customFormat="false" ht="15" hidden="false" customHeight="false" outlineLevel="0" collapsed="false">
      <c r="A30" s="10"/>
      <c r="B30" s="25" t="s">
        <v>155</v>
      </c>
      <c r="C30" s="10"/>
      <c r="D30" s="26" t="n">
        <f aca="false">SUM(D27:D29)</f>
        <v>15</v>
      </c>
      <c r="E30" s="27" t="n">
        <f aca="false">SUM(E27:E29)</f>
        <v>0</v>
      </c>
      <c r="F30" s="10"/>
    </row>
    <row r="32" customFormat="false" ht="19.5" hidden="false" customHeight="true" outlineLevel="0" collapsed="false">
      <c r="A32" s="23" t="s">
        <v>156</v>
      </c>
      <c r="B32" s="23"/>
      <c r="C32" s="23"/>
      <c r="D32" s="23"/>
      <c r="E32" s="23"/>
      <c r="F32" s="23"/>
    </row>
    <row r="33" customFormat="false" ht="33.75" hidden="false" customHeight="true" outlineLevel="0" collapsed="false">
      <c r="A33" s="8" t="s">
        <v>120</v>
      </c>
      <c r="B33" s="9" t="s">
        <v>121</v>
      </c>
      <c r="C33" s="19" t="s">
        <v>122</v>
      </c>
      <c r="D33" s="8" t="n">
        <v>4</v>
      </c>
      <c r="E33" s="24"/>
      <c r="F33" s="21"/>
    </row>
    <row r="34" customFormat="false" ht="33.75" hidden="false" customHeight="true" outlineLevel="0" collapsed="false">
      <c r="A34" s="8" t="s">
        <v>123</v>
      </c>
      <c r="B34" s="9" t="s">
        <v>124</v>
      </c>
      <c r="C34" s="19" t="s">
        <v>125</v>
      </c>
      <c r="D34" s="8" t="n">
        <v>3</v>
      </c>
      <c r="E34" s="24"/>
      <c r="F34" s="21"/>
    </row>
    <row r="35" customFormat="false" ht="33.75" hidden="false" customHeight="true" outlineLevel="0" collapsed="false">
      <c r="A35" s="8" t="s">
        <v>126</v>
      </c>
      <c r="B35" s="9" t="s">
        <v>127</v>
      </c>
      <c r="C35" s="19" t="s">
        <v>128</v>
      </c>
      <c r="D35" s="8" t="n">
        <v>3</v>
      </c>
      <c r="E35" s="24"/>
      <c r="F35" s="21"/>
    </row>
    <row r="36" customFormat="false" ht="15" hidden="false" customHeight="false" outlineLevel="0" collapsed="false">
      <c r="A36" s="10"/>
      <c r="B36" s="25" t="s">
        <v>157</v>
      </c>
      <c r="C36" s="10"/>
      <c r="D36" s="26" t="n">
        <f aca="false">SUM(D33:D35)</f>
        <v>10</v>
      </c>
      <c r="E36" s="27" t="n">
        <f aca="false">SUM(E33:E35)</f>
        <v>0</v>
      </c>
      <c r="F36" s="10"/>
    </row>
    <row r="38" customFormat="false" ht="19.5" hidden="false" customHeight="true" outlineLevel="0" collapsed="false">
      <c r="A38" s="23" t="s">
        <v>158</v>
      </c>
      <c r="B38" s="23"/>
      <c r="C38" s="23"/>
      <c r="D38" s="23"/>
      <c r="E38" s="23"/>
      <c r="F38" s="23"/>
    </row>
    <row r="39" customFormat="false" ht="33.75" hidden="false" customHeight="true" outlineLevel="0" collapsed="false">
      <c r="A39" s="8" t="s">
        <v>129</v>
      </c>
      <c r="B39" s="9" t="s">
        <v>130</v>
      </c>
      <c r="C39" s="19" t="s">
        <v>131</v>
      </c>
      <c r="D39" s="8" t="n">
        <v>6</v>
      </c>
      <c r="E39" s="24"/>
      <c r="F39" s="21"/>
    </row>
    <row r="40" customFormat="false" ht="33.75" hidden="false" customHeight="true" outlineLevel="0" collapsed="false">
      <c r="A40" s="8" t="s">
        <v>132</v>
      </c>
      <c r="B40" s="9" t="s">
        <v>133</v>
      </c>
      <c r="C40" s="19" t="s">
        <v>134</v>
      </c>
      <c r="D40" s="8" t="n">
        <v>5</v>
      </c>
      <c r="E40" s="24"/>
      <c r="F40" s="21"/>
    </row>
    <row r="41" customFormat="false" ht="33.75" hidden="false" customHeight="true" outlineLevel="0" collapsed="false">
      <c r="A41" s="8" t="s">
        <v>135</v>
      </c>
      <c r="B41" s="9" t="s">
        <v>136</v>
      </c>
      <c r="C41" s="19" t="s">
        <v>137</v>
      </c>
      <c r="D41" s="8" t="n">
        <v>4</v>
      </c>
      <c r="E41" s="24"/>
      <c r="F41" s="21"/>
    </row>
    <row r="42" customFormat="false" ht="15" hidden="false" customHeight="false" outlineLevel="0" collapsed="false">
      <c r="A42" s="10"/>
      <c r="B42" s="25" t="s">
        <v>159</v>
      </c>
      <c r="C42" s="10"/>
      <c r="D42" s="26" t="n">
        <f aca="false">SUM(D39:D41)</f>
        <v>15</v>
      </c>
      <c r="E42" s="27" t="n">
        <f aca="false">SUM(E39:E41)</f>
        <v>0</v>
      </c>
      <c r="F42" s="10"/>
    </row>
    <row r="44" customFormat="false" ht="30" hidden="false" customHeight="true" outlineLevel="0" collapsed="false">
      <c r="A44" s="28" t="s">
        <v>160</v>
      </c>
      <c r="B44" s="28"/>
      <c r="C44" s="28"/>
      <c r="D44" s="28"/>
      <c r="E44" s="29" t="n">
        <f aca="false">E10+E16+E24+E30+E36+E42</f>
        <v>0</v>
      </c>
      <c r="F44" s="30"/>
    </row>
    <row r="45" customFormat="false" ht="25.5" hidden="false" customHeight="true" outlineLevel="0" collapsed="false">
      <c r="A45" s="31" t="s">
        <v>161</v>
      </c>
      <c r="B45" s="31"/>
      <c r="C45" s="31"/>
      <c r="D45" s="31"/>
      <c r="E45" s="32" t="str">
        <f aca="false">IF(E44&gt;=90,"🟢 World-Class",IF(E44&gt;=75,"🟢 Good",IF(E44&gt;=60,"🟡 Acceptable","🔴 Needs Rework")))</f>
        <v>🔴 Needs Rework</v>
      </c>
      <c r="F45" s="32"/>
    </row>
    <row r="47" customFormat="false" ht="15" hidden="false" customHeight="true" outlineLevel="0" collapsed="false">
      <c r="A47" s="33" t="s">
        <v>162</v>
      </c>
      <c r="B47" s="33"/>
      <c r="C47" s="33"/>
      <c r="D47" s="33"/>
      <c r="E47" s="33"/>
      <c r="F47" s="33"/>
    </row>
  </sheetData>
  <mergeCells count="16">
    <mergeCell ref="A1:F1"/>
    <mergeCell ref="A2:F2"/>
    <mergeCell ref="B3:C3"/>
    <mergeCell ref="E3:F3"/>
    <mergeCell ref="B4:C4"/>
    <mergeCell ref="E4:F4"/>
    <mergeCell ref="A6:F6"/>
    <mergeCell ref="A12:F12"/>
    <mergeCell ref="A18:F18"/>
    <mergeCell ref="A26:F26"/>
    <mergeCell ref="A32:F32"/>
    <mergeCell ref="A38:F38"/>
    <mergeCell ref="A44:D44"/>
    <mergeCell ref="A45:D45"/>
    <mergeCell ref="E45:F45"/>
    <mergeCell ref="A47:F47"/>
  </mergeCells>
  <conditionalFormatting sqref="E44">
    <cfRule type="cellIs" priority="2" operator="greaterThanOrEqual" aboveAverage="0" equalAverage="0" bottom="0" percent="0" rank="0" text="" dxfId="0">
      <formula>90</formula>
    </cfRule>
    <cfRule type="cellIs" priority="3" operator="between" aboveAverage="0" equalAverage="0" bottom="0" percent="0" rank="0" text="" dxfId="1">
      <formula>75</formula>
      <formula>89.999</formula>
    </cfRule>
    <cfRule type="cellIs" priority="4" operator="between" aboveAverage="0" equalAverage="0" bottom="0" percent="0" rank="0" text="" dxfId="2">
      <formula>60</formula>
      <formula>74.999</formula>
    </cfRule>
    <cfRule type="cellIs" priority="5" operator="lessThan" aboveAverage="0" equalAverage="0" bottom="0" percent="0" rank="0" text="" dxfId="3">
      <formula>60</formula>
    </cfRule>
  </conditionalFormatting>
  <conditionalFormatting sqref="E6:E43">
    <cfRule type="expression" priority="6" aboveAverage="0" equalAverage="0" bottom="0" percent="0" rank="0" text="" dxfId="4">
      <formula>AND(ISNUMBER(E6),E6&lt;D6*0.6)</formula>
    </cfRule>
  </conditionalFormatting>
  <dataValidations count="20"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7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8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9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13" type="whole">
      <formula1>0</formula1>
      <formula2>8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14" type="whole">
      <formula1>0</formula1>
      <formula2>7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15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19" type="whole">
      <formula1>0</formula1>
      <formula2>6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0" type="whole">
      <formula1>0</formula1>
      <formula2>6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1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2" type="whole">
      <formula1>0</formula1>
      <formula2>4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3" type="whole">
      <formula1>0</formula1>
      <formula2>4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7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8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9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33" type="whole">
      <formula1>0</formula1>
      <formula2>4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34" type="whole">
      <formula1>0</formula1>
      <formula2>3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35" type="whole">
      <formula1>0</formula1>
      <formula2>3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39" type="whole">
      <formula1>0</formula1>
      <formula2>6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40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41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26"/>
  </cols>
  <sheetData>
    <row r="1" customFormat="false" ht="30" hidden="false" customHeight="true" outlineLevel="0" collapsed="false">
      <c r="A1" s="1" t="s">
        <v>163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164</v>
      </c>
      <c r="B2" s="2"/>
      <c r="C2" s="2"/>
      <c r="D2" s="2"/>
      <c r="E2" s="2"/>
      <c r="F2" s="2"/>
    </row>
    <row r="3" customFormat="false" ht="32.8" hidden="false" customHeight="false" outlineLevel="0" collapsed="false">
      <c r="A3" s="22" t="s">
        <v>140</v>
      </c>
      <c r="B3" s="10"/>
      <c r="C3" s="10"/>
      <c r="D3" s="22" t="s">
        <v>141</v>
      </c>
      <c r="E3" s="10"/>
      <c r="F3" s="10"/>
    </row>
    <row r="4" customFormat="false" ht="32.8" hidden="false" customHeight="false" outlineLevel="0" collapsed="false">
      <c r="A4" s="22" t="s">
        <v>142</v>
      </c>
      <c r="B4" s="10"/>
      <c r="C4" s="10"/>
      <c r="D4" s="22" t="s">
        <v>143</v>
      </c>
      <c r="E4" s="10"/>
      <c r="F4" s="10"/>
    </row>
    <row r="5" customFormat="false" ht="27.75" hidden="false" customHeight="true" outlineLevel="0" collapsed="false">
      <c r="A5" s="7" t="s">
        <v>57</v>
      </c>
      <c r="B5" s="7" t="s">
        <v>144</v>
      </c>
      <c r="C5" s="7" t="s">
        <v>145</v>
      </c>
      <c r="D5" s="7" t="s">
        <v>60</v>
      </c>
      <c r="E5" s="7" t="s">
        <v>146</v>
      </c>
      <c r="F5" s="7" t="s">
        <v>147</v>
      </c>
    </row>
    <row r="6" customFormat="false" ht="19.5" hidden="false" customHeight="true" outlineLevel="0" collapsed="false">
      <c r="A6" s="23" t="s">
        <v>148</v>
      </c>
      <c r="B6" s="23"/>
      <c r="C6" s="23"/>
      <c r="D6" s="23"/>
      <c r="E6" s="23"/>
      <c r="F6" s="23"/>
    </row>
    <row r="7" customFormat="false" ht="33.75" hidden="false" customHeight="true" outlineLevel="0" collapsed="false">
      <c r="A7" s="8" t="s">
        <v>62</v>
      </c>
      <c r="B7" s="9" t="s">
        <v>63</v>
      </c>
      <c r="C7" s="19" t="s">
        <v>64</v>
      </c>
      <c r="D7" s="8" t="n">
        <v>5</v>
      </c>
      <c r="E7" s="24"/>
      <c r="F7" s="21"/>
    </row>
    <row r="8" customFormat="false" ht="33.75" hidden="false" customHeight="true" outlineLevel="0" collapsed="false">
      <c r="A8" s="8" t="s">
        <v>66</v>
      </c>
      <c r="B8" s="9" t="s">
        <v>67</v>
      </c>
      <c r="C8" s="19" t="s">
        <v>68</v>
      </c>
      <c r="D8" s="8" t="n">
        <v>5</v>
      </c>
      <c r="E8" s="24"/>
      <c r="F8" s="21"/>
    </row>
    <row r="9" customFormat="false" ht="33.75" hidden="false" customHeight="true" outlineLevel="0" collapsed="false">
      <c r="A9" s="8" t="s">
        <v>69</v>
      </c>
      <c r="B9" s="9" t="s">
        <v>70</v>
      </c>
      <c r="C9" s="19" t="s">
        <v>71</v>
      </c>
      <c r="D9" s="8" t="n">
        <v>5</v>
      </c>
      <c r="E9" s="24"/>
      <c r="F9" s="21"/>
    </row>
    <row r="10" customFormat="false" ht="15" hidden="false" customHeight="false" outlineLevel="0" collapsed="false">
      <c r="A10" s="10"/>
      <c r="B10" s="25" t="s">
        <v>149</v>
      </c>
      <c r="C10" s="10"/>
      <c r="D10" s="26" t="n">
        <f aca="false">SUM(D7:D9)</f>
        <v>15</v>
      </c>
      <c r="E10" s="27" t="n">
        <f aca="false">SUM(E7:E9)</f>
        <v>0</v>
      </c>
      <c r="F10" s="10"/>
    </row>
    <row r="12" customFormat="false" ht="19.5" hidden="false" customHeight="true" outlineLevel="0" collapsed="false">
      <c r="A12" s="23" t="s">
        <v>165</v>
      </c>
      <c r="B12" s="23"/>
      <c r="C12" s="23"/>
      <c r="D12" s="23"/>
      <c r="E12" s="23"/>
      <c r="F12" s="23"/>
    </row>
    <row r="13" customFormat="false" ht="33.75" hidden="false" customHeight="true" outlineLevel="0" collapsed="false">
      <c r="A13" s="8" t="s">
        <v>72</v>
      </c>
      <c r="B13" s="9" t="s">
        <v>82</v>
      </c>
      <c r="C13" s="19" t="s">
        <v>83</v>
      </c>
      <c r="D13" s="8" t="n">
        <v>6</v>
      </c>
      <c r="E13" s="24"/>
      <c r="F13" s="21"/>
    </row>
    <row r="14" customFormat="false" ht="33.75" hidden="false" customHeight="true" outlineLevel="0" collapsed="false">
      <c r="A14" s="8" t="s">
        <v>76</v>
      </c>
      <c r="B14" s="9" t="s">
        <v>85</v>
      </c>
      <c r="C14" s="19" t="s">
        <v>86</v>
      </c>
      <c r="D14" s="8" t="n">
        <v>8</v>
      </c>
      <c r="E14" s="24"/>
      <c r="F14" s="21"/>
    </row>
    <row r="15" customFormat="false" ht="33.75" hidden="false" customHeight="true" outlineLevel="0" collapsed="false">
      <c r="A15" s="8" t="s">
        <v>79</v>
      </c>
      <c r="B15" s="9" t="s">
        <v>87</v>
      </c>
      <c r="C15" s="19" t="s">
        <v>88</v>
      </c>
      <c r="D15" s="8" t="n">
        <v>6</v>
      </c>
      <c r="E15" s="24"/>
      <c r="F15" s="21"/>
    </row>
    <row r="16" customFormat="false" ht="15" hidden="false" customHeight="false" outlineLevel="0" collapsed="false">
      <c r="A16" s="10"/>
      <c r="B16" s="25" t="s">
        <v>151</v>
      </c>
      <c r="C16" s="10"/>
      <c r="D16" s="26" t="n">
        <f aca="false">SUM(D13:D15)</f>
        <v>20</v>
      </c>
      <c r="E16" s="27" t="n">
        <f aca="false">SUM(E13:E15)</f>
        <v>0</v>
      </c>
      <c r="F16" s="10"/>
    </row>
    <row r="18" customFormat="false" ht="19.5" hidden="false" customHeight="true" outlineLevel="0" collapsed="false">
      <c r="A18" s="23" t="s">
        <v>152</v>
      </c>
      <c r="B18" s="23"/>
      <c r="C18" s="23"/>
      <c r="D18" s="23"/>
      <c r="E18" s="23"/>
      <c r="F18" s="23"/>
    </row>
    <row r="19" customFormat="false" ht="33.75" hidden="false" customHeight="true" outlineLevel="0" collapsed="false">
      <c r="A19" s="8" t="s">
        <v>96</v>
      </c>
      <c r="B19" s="9" t="s">
        <v>97</v>
      </c>
      <c r="C19" s="19" t="s">
        <v>98</v>
      </c>
      <c r="D19" s="8" t="n">
        <v>6</v>
      </c>
      <c r="E19" s="24"/>
      <c r="F19" s="21"/>
    </row>
    <row r="20" customFormat="false" ht="33.75" hidden="false" customHeight="true" outlineLevel="0" collapsed="false">
      <c r="A20" s="8" t="s">
        <v>99</v>
      </c>
      <c r="B20" s="9" t="s">
        <v>100</v>
      </c>
      <c r="C20" s="19" t="s">
        <v>101</v>
      </c>
      <c r="D20" s="8" t="n">
        <v>6</v>
      </c>
      <c r="E20" s="24"/>
      <c r="F20" s="21"/>
    </row>
    <row r="21" customFormat="false" ht="33.75" hidden="false" customHeight="true" outlineLevel="0" collapsed="false">
      <c r="A21" s="8" t="s">
        <v>102</v>
      </c>
      <c r="B21" s="9" t="s">
        <v>103</v>
      </c>
      <c r="C21" s="19" t="s">
        <v>104</v>
      </c>
      <c r="D21" s="8" t="n">
        <v>5</v>
      </c>
      <c r="E21" s="24"/>
      <c r="F21" s="21"/>
    </row>
    <row r="22" customFormat="false" ht="33.75" hidden="false" customHeight="true" outlineLevel="0" collapsed="false">
      <c r="A22" s="8" t="s">
        <v>105</v>
      </c>
      <c r="B22" s="9" t="s">
        <v>106</v>
      </c>
      <c r="C22" s="19" t="s">
        <v>107</v>
      </c>
      <c r="D22" s="8" t="n">
        <v>4</v>
      </c>
      <c r="E22" s="24"/>
      <c r="F22" s="21"/>
    </row>
    <row r="23" customFormat="false" ht="33.75" hidden="false" customHeight="true" outlineLevel="0" collapsed="false">
      <c r="A23" s="8" t="s">
        <v>108</v>
      </c>
      <c r="B23" s="9" t="s">
        <v>109</v>
      </c>
      <c r="C23" s="19" t="s">
        <v>110</v>
      </c>
      <c r="D23" s="8" t="n">
        <v>4</v>
      </c>
      <c r="E23" s="24"/>
      <c r="F23" s="21"/>
    </row>
    <row r="24" customFormat="false" ht="15" hidden="false" customHeight="false" outlineLevel="0" collapsed="false">
      <c r="A24" s="10"/>
      <c r="B24" s="25" t="s">
        <v>153</v>
      </c>
      <c r="C24" s="10"/>
      <c r="D24" s="26" t="n">
        <f aca="false">SUM(D19:D23)</f>
        <v>25</v>
      </c>
      <c r="E24" s="27" t="n">
        <f aca="false">SUM(E19:E23)</f>
        <v>0</v>
      </c>
      <c r="F24" s="10"/>
    </row>
    <row r="26" customFormat="false" ht="19.5" hidden="false" customHeight="true" outlineLevel="0" collapsed="false">
      <c r="A26" s="23" t="s">
        <v>154</v>
      </c>
      <c r="B26" s="23"/>
      <c r="C26" s="23"/>
      <c r="D26" s="23"/>
      <c r="E26" s="23"/>
      <c r="F26" s="23"/>
    </row>
    <row r="27" customFormat="false" ht="33.75" hidden="false" customHeight="true" outlineLevel="0" collapsed="false">
      <c r="A27" s="8" t="s">
        <v>111</v>
      </c>
      <c r="B27" s="9" t="s">
        <v>112</v>
      </c>
      <c r="C27" s="19" t="s">
        <v>113</v>
      </c>
      <c r="D27" s="8" t="n">
        <v>5</v>
      </c>
      <c r="E27" s="24"/>
      <c r="F27" s="21"/>
    </row>
    <row r="28" customFormat="false" ht="33.75" hidden="false" customHeight="true" outlineLevel="0" collapsed="false">
      <c r="A28" s="8" t="s">
        <v>114</v>
      </c>
      <c r="B28" s="9" t="s">
        <v>115</v>
      </c>
      <c r="C28" s="19" t="s">
        <v>116</v>
      </c>
      <c r="D28" s="8" t="n">
        <v>5</v>
      </c>
      <c r="E28" s="24"/>
      <c r="F28" s="21"/>
    </row>
    <row r="29" customFormat="false" ht="33.75" hidden="false" customHeight="true" outlineLevel="0" collapsed="false">
      <c r="A29" s="8" t="s">
        <v>117</v>
      </c>
      <c r="B29" s="9" t="s">
        <v>118</v>
      </c>
      <c r="C29" s="19" t="s">
        <v>119</v>
      </c>
      <c r="D29" s="8" t="n">
        <v>5</v>
      </c>
      <c r="E29" s="24"/>
      <c r="F29" s="21"/>
    </row>
    <row r="30" customFormat="false" ht="15" hidden="false" customHeight="false" outlineLevel="0" collapsed="false">
      <c r="A30" s="10"/>
      <c r="B30" s="25" t="s">
        <v>155</v>
      </c>
      <c r="C30" s="10"/>
      <c r="D30" s="26" t="n">
        <f aca="false">SUM(D27:D29)</f>
        <v>15</v>
      </c>
      <c r="E30" s="27" t="n">
        <f aca="false">SUM(E27:E29)</f>
        <v>0</v>
      </c>
      <c r="F30" s="10"/>
    </row>
    <row r="32" customFormat="false" ht="19.5" hidden="false" customHeight="true" outlineLevel="0" collapsed="false">
      <c r="A32" s="23" t="s">
        <v>156</v>
      </c>
      <c r="B32" s="23"/>
      <c r="C32" s="23"/>
      <c r="D32" s="23"/>
      <c r="E32" s="23"/>
      <c r="F32" s="23"/>
    </row>
    <row r="33" customFormat="false" ht="33.75" hidden="false" customHeight="true" outlineLevel="0" collapsed="false">
      <c r="A33" s="8" t="s">
        <v>120</v>
      </c>
      <c r="B33" s="9" t="s">
        <v>121</v>
      </c>
      <c r="C33" s="19" t="s">
        <v>122</v>
      </c>
      <c r="D33" s="8" t="n">
        <v>4</v>
      </c>
      <c r="E33" s="24"/>
      <c r="F33" s="21"/>
    </row>
    <row r="34" customFormat="false" ht="33.75" hidden="false" customHeight="true" outlineLevel="0" collapsed="false">
      <c r="A34" s="8" t="s">
        <v>123</v>
      </c>
      <c r="B34" s="9" t="s">
        <v>124</v>
      </c>
      <c r="C34" s="19" t="s">
        <v>125</v>
      </c>
      <c r="D34" s="8" t="n">
        <v>3</v>
      </c>
      <c r="E34" s="24"/>
      <c r="F34" s="21"/>
    </row>
    <row r="35" customFormat="false" ht="33.75" hidden="false" customHeight="true" outlineLevel="0" collapsed="false">
      <c r="A35" s="8" t="s">
        <v>126</v>
      </c>
      <c r="B35" s="9" t="s">
        <v>127</v>
      </c>
      <c r="C35" s="19" t="s">
        <v>128</v>
      </c>
      <c r="D35" s="8" t="n">
        <v>3</v>
      </c>
      <c r="E35" s="24"/>
      <c r="F35" s="21"/>
    </row>
    <row r="36" customFormat="false" ht="15" hidden="false" customHeight="false" outlineLevel="0" collapsed="false">
      <c r="A36" s="10"/>
      <c r="B36" s="25" t="s">
        <v>157</v>
      </c>
      <c r="C36" s="10"/>
      <c r="D36" s="26" t="n">
        <f aca="false">SUM(D33:D35)</f>
        <v>10</v>
      </c>
      <c r="E36" s="27" t="n">
        <f aca="false">SUM(E33:E35)</f>
        <v>0</v>
      </c>
      <c r="F36" s="10"/>
    </row>
    <row r="38" customFormat="false" ht="19.5" hidden="false" customHeight="true" outlineLevel="0" collapsed="false">
      <c r="A38" s="23" t="s">
        <v>158</v>
      </c>
      <c r="B38" s="23"/>
      <c r="C38" s="23"/>
      <c r="D38" s="23"/>
      <c r="E38" s="23"/>
      <c r="F38" s="23"/>
    </row>
    <row r="39" customFormat="false" ht="33.75" hidden="false" customHeight="true" outlineLevel="0" collapsed="false">
      <c r="A39" s="8" t="s">
        <v>129</v>
      </c>
      <c r="B39" s="9" t="s">
        <v>130</v>
      </c>
      <c r="C39" s="19" t="s">
        <v>131</v>
      </c>
      <c r="D39" s="8" t="n">
        <v>6</v>
      </c>
      <c r="E39" s="24"/>
      <c r="F39" s="21"/>
    </row>
    <row r="40" customFormat="false" ht="33.75" hidden="false" customHeight="true" outlineLevel="0" collapsed="false">
      <c r="A40" s="8" t="s">
        <v>132</v>
      </c>
      <c r="B40" s="9" t="s">
        <v>133</v>
      </c>
      <c r="C40" s="19" t="s">
        <v>134</v>
      </c>
      <c r="D40" s="8" t="n">
        <v>5</v>
      </c>
      <c r="E40" s="24"/>
      <c r="F40" s="21"/>
    </row>
    <row r="41" customFormat="false" ht="33.75" hidden="false" customHeight="true" outlineLevel="0" collapsed="false">
      <c r="A41" s="8" t="s">
        <v>135</v>
      </c>
      <c r="B41" s="9" t="s">
        <v>136</v>
      </c>
      <c r="C41" s="19" t="s">
        <v>137</v>
      </c>
      <c r="D41" s="8" t="n">
        <v>4</v>
      </c>
      <c r="E41" s="24"/>
      <c r="F41" s="21"/>
    </row>
    <row r="42" customFormat="false" ht="15" hidden="false" customHeight="false" outlineLevel="0" collapsed="false">
      <c r="A42" s="10"/>
      <c r="B42" s="25" t="s">
        <v>159</v>
      </c>
      <c r="C42" s="10"/>
      <c r="D42" s="26" t="n">
        <f aca="false">SUM(D39:D41)</f>
        <v>15</v>
      </c>
      <c r="E42" s="27" t="n">
        <f aca="false">SUM(E39:E41)</f>
        <v>0</v>
      </c>
      <c r="F42" s="10"/>
    </row>
    <row r="44" customFormat="false" ht="30" hidden="false" customHeight="true" outlineLevel="0" collapsed="false">
      <c r="A44" s="28" t="s">
        <v>160</v>
      </c>
      <c r="B44" s="28"/>
      <c r="C44" s="28"/>
      <c r="D44" s="28"/>
      <c r="E44" s="29" t="n">
        <f aca="false">E10+E16+E24+E30+E36+E42</f>
        <v>0</v>
      </c>
      <c r="F44" s="30"/>
    </row>
    <row r="45" customFormat="false" ht="25.5" hidden="false" customHeight="true" outlineLevel="0" collapsed="false">
      <c r="A45" s="31" t="s">
        <v>161</v>
      </c>
      <c r="B45" s="31"/>
      <c r="C45" s="31"/>
      <c r="D45" s="31"/>
      <c r="E45" s="32" t="str">
        <f aca="false">IF(E44&gt;=90,"🟢 World-Class",IF(E44&gt;=75,"🟢 Good",IF(E44&gt;=60,"🟡 Acceptable","🔴 Needs Rework")))</f>
        <v>🔴 Needs Rework</v>
      </c>
      <c r="F45" s="32"/>
    </row>
    <row r="47" customFormat="false" ht="15" hidden="false" customHeight="true" outlineLevel="0" collapsed="false">
      <c r="A47" s="33" t="s">
        <v>162</v>
      </c>
      <c r="B47" s="33"/>
      <c r="C47" s="33"/>
      <c r="D47" s="33"/>
      <c r="E47" s="33"/>
      <c r="F47" s="33"/>
    </row>
  </sheetData>
  <mergeCells count="16">
    <mergeCell ref="A1:F1"/>
    <mergeCell ref="A2:F2"/>
    <mergeCell ref="B3:C3"/>
    <mergeCell ref="E3:F3"/>
    <mergeCell ref="B4:C4"/>
    <mergeCell ref="E4:F4"/>
    <mergeCell ref="A6:F6"/>
    <mergeCell ref="A12:F12"/>
    <mergeCell ref="A18:F18"/>
    <mergeCell ref="A26:F26"/>
    <mergeCell ref="A32:F32"/>
    <mergeCell ref="A38:F38"/>
    <mergeCell ref="A44:D44"/>
    <mergeCell ref="A45:D45"/>
    <mergeCell ref="E45:F45"/>
    <mergeCell ref="A47:F47"/>
  </mergeCells>
  <conditionalFormatting sqref="E44">
    <cfRule type="cellIs" priority="2" operator="greaterThanOrEqual" aboveAverage="0" equalAverage="0" bottom="0" percent="0" rank="0" text="" dxfId="0">
      <formula>90</formula>
    </cfRule>
    <cfRule type="cellIs" priority="3" operator="between" aboveAverage="0" equalAverage="0" bottom="0" percent="0" rank="0" text="" dxfId="1">
      <formula>75</formula>
      <formula>89.999</formula>
    </cfRule>
    <cfRule type="cellIs" priority="4" operator="between" aboveAverage="0" equalAverage="0" bottom="0" percent="0" rank="0" text="" dxfId="2">
      <formula>60</formula>
      <formula>74.999</formula>
    </cfRule>
    <cfRule type="cellIs" priority="5" operator="lessThan" aboveAverage="0" equalAverage="0" bottom="0" percent="0" rank="0" text="" dxfId="3">
      <formula>60</formula>
    </cfRule>
  </conditionalFormatting>
  <conditionalFormatting sqref="E6:E43">
    <cfRule type="expression" priority="6" aboveAverage="0" equalAverage="0" bottom="0" percent="0" rank="0" text="" dxfId="4">
      <formula>AND(ISNUMBER(E6),E6&lt;D6*0.6)</formula>
    </cfRule>
  </conditionalFormatting>
  <dataValidations count="20"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7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8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9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13" type="whole">
      <formula1>0</formula1>
      <formula2>6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14" type="whole">
      <formula1>0</formula1>
      <formula2>8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15" type="whole">
      <formula1>0</formula1>
      <formula2>6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19" type="whole">
      <formula1>0</formula1>
      <formula2>6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0" type="whole">
      <formula1>0</formula1>
      <formula2>6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1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2" type="whole">
      <formula1>0</formula1>
      <formula2>4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3" type="whole">
      <formula1>0</formula1>
      <formula2>4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7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8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9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33" type="whole">
      <formula1>0</formula1>
      <formula2>4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34" type="whole">
      <formula1>0</formula1>
      <formula2>3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35" type="whole">
      <formula1>0</formula1>
      <formula2>3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39" type="whole">
      <formula1>0</formula1>
      <formula2>6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40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41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26"/>
  </cols>
  <sheetData>
    <row r="1" customFormat="false" ht="30" hidden="false" customHeight="true" outlineLevel="0" collapsed="false">
      <c r="A1" s="1" t="s">
        <v>166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167</v>
      </c>
      <c r="B2" s="2"/>
      <c r="C2" s="2"/>
      <c r="D2" s="2"/>
      <c r="E2" s="2"/>
      <c r="F2" s="2"/>
    </row>
    <row r="3" customFormat="false" ht="32.8" hidden="false" customHeight="false" outlineLevel="0" collapsed="false">
      <c r="A3" s="22" t="s">
        <v>140</v>
      </c>
      <c r="B3" s="10"/>
      <c r="C3" s="10"/>
      <c r="D3" s="22" t="s">
        <v>141</v>
      </c>
      <c r="E3" s="10"/>
      <c r="F3" s="10"/>
    </row>
    <row r="4" customFormat="false" ht="32.8" hidden="false" customHeight="false" outlineLevel="0" collapsed="false">
      <c r="A4" s="22" t="s">
        <v>142</v>
      </c>
      <c r="B4" s="10"/>
      <c r="C4" s="10"/>
      <c r="D4" s="22" t="s">
        <v>143</v>
      </c>
      <c r="E4" s="10"/>
      <c r="F4" s="10"/>
    </row>
    <row r="5" customFormat="false" ht="27.75" hidden="false" customHeight="true" outlineLevel="0" collapsed="false">
      <c r="A5" s="7" t="s">
        <v>57</v>
      </c>
      <c r="B5" s="7" t="s">
        <v>144</v>
      </c>
      <c r="C5" s="7" t="s">
        <v>145</v>
      </c>
      <c r="D5" s="7" t="s">
        <v>60</v>
      </c>
      <c r="E5" s="7" t="s">
        <v>146</v>
      </c>
      <c r="F5" s="7" t="s">
        <v>147</v>
      </c>
    </row>
    <row r="6" customFormat="false" ht="19.5" hidden="false" customHeight="true" outlineLevel="0" collapsed="false">
      <c r="A6" s="23" t="s">
        <v>148</v>
      </c>
      <c r="B6" s="23"/>
      <c r="C6" s="23"/>
      <c r="D6" s="23"/>
      <c r="E6" s="23"/>
      <c r="F6" s="23"/>
    </row>
    <row r="7" customFormat="false" ht="33.75" hidden="false" customHeight="true" outlineLevel="0" collapsed="false">
      <c r="A7" s="8" t="s">
        <v>62</v>
      </c>
      <c r="B7" s="9" t="s">
        <v>63</v>
      </c>
      <c r="C7" s="19" t="s">
        <v>64</v>
      </c>
      <c r="D7" s="8" t="n">
        <v>5</v>
      </c>
      <c r="E7" s="24"/>
      <c r="F7" s="21"/>
    </row>
    <row r="8" customFormat="false" ht="33.75" hidden="false" customHeight="true" outlineLevel="0" collapsed="false">
      <c r="A8" s="8" t="s">
        <v>66</v>
      </c>
      <c r="B8" s="9" t="s">
        <v>67</v>
      </c>
      <c r="C8" s="19" t="s">
        <v>68</v>
      </c>
      <c r="D8" s="8" t="n">
        <v>5</v>
      </c>
      <c r="E8" s="24"/>
      <c r="F8" s="21"/>
    </row>
    <row r="9" customFormat="false" ht="33.75" hidden="false" customHeight="true" outlineLevel="0" collapsed="false">
      <c r="A9" s="8" t="s">
        <v>69</v>
      </c>
      <c r="B9" s="9" t="s">
        <v>70</v>
      </c>
      <c r="C9" s="19" t="s">
        <v>71</v>
      </c>
      <c r="D9" s="8" t="n">
        <v>5</v>
      </c>
      <c r="E9" s="24"/>
      <c r="F9" s="21"/>
    </row>
    <row r="10" customFormat="false" ht="15" hidden="false" customHeight="false" outlineLevel="0" collapsed="false">
      <c r="A10" s="10"/>
      <c r="B10" s="25" t="s">
        <v>149</v>
      </c>
      <c r="C10" s="10"/>
      <c r="D10" s="26" t="n">
        <f aca="false">SUM(D7:D9)</f>
        <v>15</v>
      </c>
      <c r="E10" s="27" t="n">
        <f aca="false">SUM(E7:E9)</f>
        <v>0</v>
      </c>
      <c r="F10" s="10"/>
    </row>
    <row r="12" customFormat="false" ht="19.5" hidden="false" customHeight="true" outlineLevel="0" collapsed="false">
      <c r="A12" s="23" t="s">
        <v>168</v>
      </c>
      <c r="B12" s="23"/>
      <c r="C12" s="23"/>
      <c r="D12" s="23"/>
      <c r="E12" s="23"/>
      <c r="F12" s="23"/>
    </row>
    <row r="13" customFormat="false" ht="33.75" hidden="false" customHeight="true" outlineLevel="0" collapsed="false">
      <c r="A13" s="8" t="s">
        <v>72</v>
      </c>
      <c r="B13" s="9" t="s">
        <v>89</v>
      </c>
      <c r="C13" s="19" t="s">
        <v>90</v>
      </c>
      <c r="D13" s="8" t="n">
        <v>6</v>
      </c>
      <c r="E13" s="24"/>
      <c r="F13" s="21"/>
    </row>
    <row r="14" customFormat="false" ht="33.75" hidden="false" customHeight="true" outlineLevel="0" collapsed="false">
      <c r="A14" s="8" t="s">
        <v>76</v>
      </c>
      <c r="B14" s="9" t="s">
        <v>92</v>
      </c>
      <c r="C14" s="19" t="s">
        <v>93</v>
      </c>
      <c r="D14" s="8" t="n">
        <v>8</v>
      </c>
      <c r="E14" s="24"/>
      <c r="F14" s="21"/>
    </row>
    <row r="15" customFormat="false" ht="33.75" hidden="false" customHeight="true" outlineLevel="0" collapsed="false">
      <c r="A15" s="8" t="s">
        <v>79</v>
      </c>
      <c r="B15" s="9" t="s">
        <v>94</v>
      </c>
      <c r="C15" s="19" t="s">
        <v>95</v>
      </c>
      <c r="D15" s="8" t="n">
        <v>6</v>
      </c>
      <c r="E15" s="24"/>
      <c r="F15" s="21"/>
    </row>
    <row r="16" customFormat="false" ht="15" hidden="false" customHeight="false" outlineLevel="0" collapsed="false">
      <c r="A16" s="10"/>
      <c r="B16" s="25" t="s">
        <v>151</v>
      </c>
      <c r="C16" s="10"/>
      <c r="D16" s="26" t="n">
        <f aca="false">SUM(D13:D15)</f>
        <v>20</v>
      </c>
      <c r="E16" s="27" t="n">
        <f aca="false">SUM(E13:E15)</f>
        <v>0</v>
      </c>
      <c r="F16" s="10"/>
    </row>
    <row r="18" customFormat="false" ht="19.5" hidden="false" customHeight="true" outlineLevel="0" collapsed="false">
      <c r="A18" s="23" t="s">
        <v>152</v>
      </c>
      <c r="B18" s="23"/>
      <c r="C18" s="23"/>
      <c r="D18" s="23"/>
      <c r="E18" s="23"/>
      <c r="F18" s="23"/>
    </row>
    <row r="19" customFormat="false" ht="33.75" hidden="false" customHeight="true" outlineLevel="0" collapsed="false">
      <c r="A19" s="8" t="s">
        <v>96</v>
      </c>
      <c r="B19" s="9" t="s">
        <v>97</v>
      </c>
      <c r="C19" s="19" t="s">
        <v>98</v>
      </c>
      <c r="D19" s="8" t="n">
        <v>6</v>
      </c>
      <c r="E19" s="24"/>
      <c r="F19" s="21"/>
    </row>
    <row r="20" customFormat="false" ht="33.75" hidden="false" customHeight="true" outlineLevel="0" collapsed="false">
      <c r="A20" s="8" t="s">
        <v>99</v>
      </c>
      <c r="B20" s="9" t="s">
        <v>100</v>
      </c>
      <c r="C20" s="19" t="s">
        <v>101</v>
      </c>
      <c r="D20" s="8" t="n">
        <v>6</v>
      </c>
      <c r="E20" s="24"/>
      <c r="F20" s="21"/>
    </row>
    <row r="21" customFormat="false" ht="33.75" hidden="false" customHeight="true" outlineLevel="0" collapsed="false">
      <c r="A21" s="8" t="s">
        <v>102</v>
      </c>
      <c r="B21" s="9" t="s">
        <v>103</v>
      </c>
      <c r="C21" s="19" t="s">
        <v>104</v>
      </c>
      <c r="D21" s="8" t="n">
        <v>5</v>
      </c>
      <c r="E21" s="24"/>
      <c r="F21" s="21"/>
    </row>
    <row r="22" customFormat="false" ht="33.75" hidden="false" customHeight="true" outlineLevel="0" collapsed="false">
      <c r="A22" s="8" t="s">
        <v>105</v>
      </c>
      <c r="B22" s="9" t="s">
        <v>106</v>
      </c>
      <c r="C22" s="19" t="s">
        <v>107</v>
      </c>
      <c r="D22" s="8" t="n">
        <v>4</v>
      </c>
      <c r="E22" s="24"/>
      <c r="F22" s="21"/>
    </row>
    <row r="23" customFormat="false" ht="33.75" hidden="false" customHeight="true" outlineLevel="0" collapsed="false">
      <c r="A23" s="8" t="s">
        <v>108</v>
      </c>
      <c r="B23" s="9" t="s">
        <v>109</v>
      </c>
      <c r="C23" s="19" t="s">
        <v>110</v>
      </c>
      <c r="D23" s="8" t="n">
        <v>4</v>
      </c>
      <c r="E23" s="24"/>
      <c r="F23" s="21"/>
    </row>
    <row r="24" customFormat="false" ht="15" hidden="false" customHeight="false" outlineLevel="0" collapsed="false">
      <c r="A24" s="10"/>
      <c r="B24" s="25" t="s">
        <v>153</v>
      </c>
      <c r="C24" s="10"/>
      <c r="D24" s="26" t="n">
        <f aca="false">SUM(D19:D23)</f>
        <v>25</v>
      </c>
      <c r="E24" s="27" t="n">
        <f aca="false">SUM(E19:E23)</f>
        <v>0</v>
      </c>
      <c r="F24" s="10"/>
    </row>
    <row r="26" customFormat="false" ht="19.5" hidden="false" customHeight="true" outlineLevel="0" collapsed="false">
      <c r="A26" s="23" t="s">
        <v>154</v>
      </c>
      <c r="B26" s="23"/>
      <c r="C26" s="23"/>
      <c r="D26" s="23"/>
      <c r="E26" s="23"/>
      <c r="F26" s="23"/>
    </row>
    <row r="27" customFormat="false" ht="33.75" hidden="false" customHeight="true" outlineLevel="0" collapsed="false">
      <c r="A27" s="8" t="s">
        <v>111</v>
      </c>
      <c r="B27" s="9" t="s">
        <v>112</v>
      </c>
      <c r="C27" s="19" t="s">
        <v>113</v>
      </c>
      <c r="D27" s="8" t="n">
        <v>5</v>
      </c>
      <c r="E27" s="24"/>
      <c r="F27" s="21"/>
    </row>
    <row r="28" customFormat="false" ht="33.75" hidden="false" customHeight="true" outlineLevel="0" collapsed="false">
      <c r="A28" s="8" t="s">
        <v>114</v>
      </c>
      <c r="B28" s="9" t="s">
        <v>115</v>
      </c>
      <c r="C28" s="19" t="s">
        <v>116</v>
      </c>
      <c r="D28" s="8" t="n">
        <v>5</v>
      </c>
      <c r="E28" s="24"/>
      <c r="F28" s="21"/>
    </row>
    <row r="29" customFormat="false" ht="33.75" hidden="false" customHeight="true" outlineLevel="0" collapsed="false">
      <c r="A29" s="8" t="s">
        <v>117</v>
      </c>
      <c r="B29" s="9" t="s">
        <v>118</v>
      </c>
      <c r="C29" s="19" t="s">
        <v>119</v>
      </c>
      <c r="D29" s="8" t="n">
        <v>5</v>
      </c>
      <c r="E29" s="24"/>
      <c r="F29" s="21"/>
    </row>
    <row r="30" customFormat="false" ht="15" hidden="false" customHeight="false" outlineLevel="0" collapsed="false">
      <c r="A30" s="10"/>
      <c r="B30" s="25" t="s">
        <v>155</v>
      </c>
      <c r="C30" s="10"/>
      <c r="D30" s="26" t="n">
        <f aca="false">SUM(D27:D29)</f>
        <v>15</v>
      </c>
      <c r="E30" s="27" t="n">
        <f aca="false">SUM(E27:E29)</f>
        <v>0</v>
      </c>
      <c r="F30" s="10"/>
    </row>
    <row r="32" customFormat="false" ht="19.5" hidden="false" customHeight="true" outlineLevel="0" collapsed="false">
      <c r="A32" s="23" t="s">
        <v>156</v>
      </c>
      <c r="B32" s="23"/>
      <c r="C32" s="23"/>
      <c r="D32" s="23"/>
      <c r="E32" s="23"/>
      <c r="F32" s="23"/>
    </row>
    <row r="33" customFormat="false" ht="33.75" hidden="false" customHeight="true" outlineLevel="0" collapsed="false">
      <c r="A33" s="8" t="s">
        <v>120</v>
      </c>
      <c r="B33" s="9" t="s">
        <v>121</v>
      </c>
      <c r="C33" s="19" t="s">
        <v>122</v>
      </c>
      <c r="D33" s="8" t="n">
        <v>4</v>
      </c>
      <c r="E33" s="24"/>
      <c r="F33" s="21"/>
    </row>
    <row r="34" customFormat="false" ht="33.75" hidden="false" customHeight="true" outlineLevel="0" collapsed="false">
      <c r="A34" s="8" t="s">
        <v>123</v>
      </c>
      <c r="B34" s="9" t="s">
        <v>124</v>
      </c>
      <c r="C34" s="19" t="s">
        <v>125</v>
      </c>
      <c r="D34" s="8" t="n">
        <v>3</v>
      </c>
      <c r="E34" s="24"/>
      <c r="F34" s="21"/>
    </row>
    <row r="35" customFormat="false" ht="33.75" hidden="false" customHeight="true" outlineLevel="0" collapsed="false">
      <c r="A35" s="8" t="s">
        <v>126</v>
      </c>
      <c r="B35" s="9" t="s">
        <v>127</v>
      </c>
      <c r="C35" s="19" t="s">
        <v>128</v>
      </c>
      <c r="D35" s="8" t="n">
        <v>3</v>
      </c>
      <c r="E35" s="24"/>
      <c r="F35" s="21"/>
    </row>
    <row r="36" customFormat="false" ht="15" hidden="false" customHeight="false" outlineLevel="0" collapsed="false">
      <c r="A36" s="10"/>
      <c r="B36" s="25" t="s">
        <v>157</v>
      </c>
      <c r="C36" s="10"/>
      <c r="D36" s="26" t="n">
        <f aca="false">SUM(D33:D35)</f>
        <v>10</v>
      </c>
      <c r="E36" s="27" t="n">
        <f aca="false">SUM(E33:E35)</f>
        <v>0</v>
      </c>
      <c r="F36" s="10"/>
    </row>
    <row r="38" customFormat="false" ht="19.5" hidden="false" customHeight="true" outlineLevel="0" collapsed="false">
      <c r="A38" s="23" t="s">
        <v>158</v>
      </c>
      <c r="B38" s="23"/>
      <c r="C38" s="23"/>
      <c r="D38" s="23"/>
      <c r="E38" s="23"/>
      <c r="F38" s="23"/>
    </row>
    <row r="39" customFormat="false" ht="33.75" hidden="false" customHeight="true" outlineLevel="0" collapsed="false">
      <c r="A39" s="8" t="s">
        <v>129</v>
      </c>
      <c r="B39" s="9" t="s">
        <v>130</v>
      </c>
      <c r="C39" s="19" t="s">
        <v>131</v>
      </c>
      <c r="D39" s="8" t="n">
        <v>6</v>
      </c>
      <c r="E39" s="24"/>
      <c r="F39" s="21"/>
    </row>
    <row r="40" customFormat="false" ht="33.75" hidden="false" customHeight="true" outlineLevel="0" collapsed="false">
      <c r="A40" s="8" t="s">
        <v>132</v>
      </c>
      <c r="B40" s="9" t="s">
        <v>133</v>
      </c>
      <c r="C40" s="19" t="s">
        <v>134</v>
      </c>
      <c r="D40" s="8" t="n">
        <v>5</v>
      </c>
      <c r="E40" s="24"/>
      <c r="F40" s="21"/>
    </row>
    <row r="41" customFormat="false" ht="33.75" hidden="false" customHeight="true" outlineLevel="0" collapsed="false">
      <c r="A41" s="8" t="s">
        <v>135</v>
      </c>
      <c r="B41" s="9" t="s">
        <v>136</v>
      </c>
      <c r="C41" s="19" t="s">
        <v>137</v>
      </c>
      <c r="D41" s="8" t="n">
        <v>4</v>
      </c>
      <c r="E41" s="24"/>
      <c r="F41" s="21"/>
    </row>
    <row r="42" customFormat="false" ht="15" hidden="false" customHeight="false" outlineLevel="0" collapsed="false">
      <c r="A42" s="10"/>
      <c r="B42" s="25" t="s">
        <v>159</v>
      </c>
      <c r="C42" s="10"/>
      <c r="D42" s="26" t="n">
        <f aca="false">SUM(D39:D41)</f>
        <v>15</v>
      </c>
      <c r="E42" s="27" t="n">
        <f aca="false">SUM(E39:E41)</f>
        <v>0</v>
      </c>
      <c r="F42" s="10"/>
    </row>
    <row r="44" customFormat="false" ht="30" hidden="false" customHeight="true" outlineLevel="0" collapsed="false">
      <c r="A44" s="28" t="s">
        <v>160</v>
      </c>
      <c r="B44" s="28"/>
      <c r="C44" s="28"/>
      <c r="D44" s="28"/>
      <c r="E44" s="29" t="n">
        <f aca="false">E10+E16+E24+E30+E36+E42</f>
        <v>0</v>
      </c>
      <c r="F44" s="30"/>
    </row>
    <row r="45" customFormat="false" ht="25.5" hidden="false" customHeight="true" outlineLevel="0" collapsed="false">
      <c r="A45" s="31" t="s">
        <v>161</v>
      </c>
      <c r="B45" s="31"/>
      <c r="C45" s="31"/>
      <c r="D45" s="31"/>
      <c r="E45" s="32" t="str">
        <f aca="false">IF(E44&gt;=90,"🟢 World-Class",IF(E44&gt;=75,"🟢 Good",IF(E44&gt;=60,"🟡 Acceptable","🔴 Needs Rework")))</f>
        <v>🔴 Needs Rework</v>
      </c>
      <c r="F45" s="32"/>
    </row>
    <row r="47" customFormat="false" ht="15" hidden="false" customHeight="true" outlineLevel="0" collapsed="false">
      <c r="A47" s="33" t="s">
        <v>162</v>
      </c>
      <c r="B47" s="33"/>
      <c r="C47" s="33"/>
      <c r="D47" s="33"/>
      <c r="E47" s="33"/>
      <c r="F47" s="33"/>
    </row>
  </sheetData>
  <mergeCells count="16">
    <mergeCell ref="A1:F1"/>
    <mergeCell ref="A2:F2"/>
    <mergeCell ref="B3:C3"/>
    <mergeCell ref="E3:F3"/>
    <mergeCell ref="B4:C4"/>
    <mergeCell ref="E4:F4"/>
    <mergeCell ref="A6:F6"/>
    <mergeCell ref="A12:F12"/>
    <mergeCell ref="A18:F18"/>
    <mergeCell ref="A26:F26"/>
    <mergeCell ref="A32:F32"/>
    <mergeCell ref="A38:F38"/>
    <mergeCell ref="A44:D44"/>
    <mergeCell ref="A45:D45"/>
    <mergeCell ref="E45:F45"/>
    <mergeCell ref="A47:F47"/>
  </mergeCells>
  <conditionalFormatting sqref="E44">
    <cfRule type="cellIs" priority="2" operator="greaterThanOrEqual" aboveAverage="0" equalAverage="0" bottom="0" percent="0" rank="0" text="" dxfId="0">
      <formula>90</formula>
    </cfRule>
    <cfRule type="cellIs" priority="3" operator="between" aboveAverage="0" equalAverage="0" bottom="0" percent="0" rank="0" text="" dxfId="1">
      <formula>75</formula>
      <formula>89.999</formula>
    </cfRule>
    <cfRule type="cellIs" priority="4" operator="between" aboveAverage="0" equalAverage="0" bottom="0" percent="0" rank="0" text="" dxfId="2">
      <formula>60</formula>
      <formula>74.999</formula>
    </cfRule>
    <cfRule type="cellIs" priority="5" operator="lessThan" aboveAverage="0" equalAverage="0" bottom="0" percent="0" rank="0" text="" dxfId="3">
      <formula>60</formula>
    </cfRule>
  </conditionalFormatting>
  <conditionalFormatting sqref="E6:E43">
    <cfRule type="expression" priority="6" aboveAverage="0" equalAverage="0" bottom="0" percent="0" rank="0" text="" dxfId="4">
      <formula>AND(ISNUMBER(E6),E6&lt;D6*0.6)</formula>
    </cfRule>
  </conditionalFormatting>
  <dataValidations count="20"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7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8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9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13" type="whole">
      <formula1>0</formula1>
      <formula2>6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14" type="whole">
      <formula1>0</formula1>
      <formula2>8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15" type="whole">
      <formula1>0</formula1>
      <formula2>6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19" type="whole">
      <formula1>0</formula1>
      <formula2>6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0" type="whole">
      <formula1>0</formula1>
      <formula2>6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1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2" type="whole">
      <formula1>0</formula1>
      <formula2>4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3" type="whole">
      <formula1>0</formula1>
      <formula2>4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7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8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29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33" type="whole">
      <formula1>0</formula1>
      <formula2>4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34" type="whole">
      <formula1>0</formula1>
      <formula2>3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35" type="whole">
      <formula1>0</formula1>
      <formula2>3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39" type="whole">
      <formula1>0</formula1>
      <formula2>6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40" type="whole">
      <formula1>0</formula1>
      <formula2>5</formula2>
    </dataValidation>
    <dataValidation allowBlank="true" error="กรอกเฉพาะ 0 ถึงคะแนนเต็มของข้อนี้" errorStyle="stop" errorTitle="คะแนนเกิน" operator="between" showDropDown="false" showErrorMessage="false" showInputMessage="false" sqref="E41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4" min="3" style="0" width="40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" t="s">
        <v>169</v>
      </c>
      <c r="B1" s="1"/>
      <c r="C1" s="1"/>
      <c r="D1" s="1"/>
      <c r="E1" s="1"/>
    </row>
    <row r="2" customFormat="false" ht="18" hidden="false" customHeight="true" outlineLevel="0" collapsed="false">
      <c r="A2" s="2" t="s">
        <v>170</v>
      </c>
      <c r="B2" s="2"/>
      <c r="C2" s="2"/>
      <c r="D2" s="2"/>
      <c r="E2" s="2"/>
    </row>
    <row r="3" customFormat="false" ht="25.5" hidden="false" customHeight="true" outlineLevel="0" collapsed="false">
      <c r="A3" s="7" t="s">
        <v>171</v>
      </c>
      <c r="B3" s="7" t="s">
        <v>172</v>
      </c>
      <c r="C3" s="7" t="s">
        <v>173</v>
      </c>
      <c r="D3" s="7" t="s">
        <v>174</v>
      </c>
      <c r="E3" s="7" t="s">
        <v>175</v>
      </c>
    </row>
    <row r="4" customFormat="false" ht="69.75" hidden="false" customHeight="true" outlineLevel="0" collapsed="false">
      <c r="A4" s="34" t="s">
        <v>176</v>
      </c>
      <c r="B4" s="35" t="s">
        <v>177</v>
      </c>
      <c r="C4" s="36" t="s">
        <v>178</v>
      </c>
      <c r="D4" s="36" t="s">
        <v>179</v>
      </c>
      <c r="E4" s="37" t="s">
        <v>180</v>
      </c>
    </row>
    <row r="5" customFormat="false" ht="69.75" hidden="false" customHeight="true" outlineLevel="0" collapsed="false">
      <c r="A5" s="34" t="s">
        <v>181</v>
      </c>
      <c r="B5" s="35" t="s">
        <v>182</v>
      </c>
      <c r="C5" s="36" t="s">
        <v>183</v>
      </c>
      <c r="D5" s="36" t="s">
        <v>184</v>
      </c>
      <c r="E5" s="37" t="s">
        <v>185</v>
      </c>
    </row>
    <row r="6" customFormat="false" ht="69.75" hidden="false" customHeight="true" outlineLevel="0" collapsed="false">
      <c r="A6" s="34" t="s">
        <v>186</v>
      </c>
      <c r="B6" s="35" t="s">
        <v>187</v>
      </c>
      <c r="C6" s="36" t="s">
        <v>188</v>
      </c>
      <c r="D6" s="36" t="s">
        <v>189</v>
      </c>
      <c r="E6" s="37" t="s">
        <v>190</v>
      </c>
    </row>
    <row r="7" customFormat="false" ht="69.75" hidden="false" customHeight="true" outlineLevel="0" collapsed="false">
      <c r="A7" s="34" t="s">
        <v>191</v>
      </c>
      <c r="B7" s="35" t="s">
        <v>192</v>
      </c>
      <c r="C7" s="36" t="s">
        <v>193</v>
      </c>
      <c r="D7" s="36" t="s">
        <v>194</v>
      </c>
      <c r="E7" s="37" t="s">
        <v>195</v>
      </c>
    </row>
    <row r="9" customFormat="false" ht="14.9" hidden="false" customHeight="false" outlineLevel="0" collapsed="false">
      <c r="A9" s="38" t="s">
        <v>196</v>
      </c>
      <c r="B9" s="38"/>
      <c r="C9" s="38"/>
      <c r="D9" s="38"/>
      <c r="E9" s="38"/>
    </row>
    <row r="10" customFormat="false" ht="18" hidden="false" customHeight="true" outlineLevel="0" collapsed="false">
      <c r="A10" s="39" t="s">
        <v>197</v>
      </c>
      <c r="B10" s="39"/>
      <c r="C10" s="39"/>
      <c r="D10" s="39"/>
      <c r="E10" s="39"/>
    </row>
    <row r="11" customFormat="false" ht="18" hidden="false" customHeight="true" outlineLevel="0" collapsed="false">
      <c r="A11" s="39" t="s">
        <v>198</v>
      </c>
      <c r="B11" s="39"/>
      <c r="C11" s="39"/>
      <c r="D11" s="39"/>
      <c r="E11" s="39"/>
    </row>
    <row r="12" customFormat="false" ht="18" hidden="false" customHeight="true" outlineLevel="0" collapsed="false">
      <c r="A12" s="39" t="s">
        <v>199</v>
      </c>
      <c r="B12" s="39"/>
      <c r="C12" s="39"/>
      <c r="D12" s="39"/>
      <c r="E12" s="39"/>
    </row>
    <row r="13" customFormat="false" ht="18" hidden="false" customHeight="true" outlineLevel="0" collapsed="false">
      <c r="A13" s="39" t="s">
        <v>200</v>
      </c>
      <c r="B13" s="39"/>
      <c r="C13" s="39"/>
      <c r="D13" s="39"/>
      <c r="E13" s="39"/>
    </row>
    <row r="14" customFormat="false" ht="18" hidden="false" customHeight="true" outlineLevel="0" collapsed="false">
      <c r="A14" s="39" t="s">
        <v>201</v>
      </c>
      <c r="B14" s="39"/>
      <c r="C14" s="39"/>
      <c r="D14" s="39"/>
      <c r="E14" s="39"/>
    </row>
    <row r="15" customFormat="false" ht="18" hidden="false" customHeight="true" outlineLevel="0" collapsed="false">
      <c r="A15" s="39" t="s">
        <v>202</v>
      </c>
      <c r="B15" s="39"/>
      <c r="C15" s="39"/>
      <c r="D15" s="39"/>
      <c r="E15" s="39"/>
    </row>
    <row r="16" customFormat="false" ht="18" hidden="false" customHeight="true" outlineLevel="0" collapsed="false">
      <c r="A16" s="39" t="s">
        <v>203</v>
      </c>
      <c r="B16" s="39"/>
      <c r="C16" s="39"/>
      <c r="D16" s="39"/>
      <c r="E16" s="39"/>
    </row>
  </sheetData>
  <mergeCells count="10">
    <mergeCell ref="A1:E1"/>
    <mergeCell ref="A2:E2"/>
    <mergeCell ref="A9:E9"/>
    <mergeCell ref="A10:E10"/>
    <mergeCell ref="A11:E11"/>
    <mergeCell ref="A12:E12"/>
    <mergeCell ref="A13:E13"/>
    <mergeCell ref="A14:E14"/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0"/>
    <col collapsed="false" customWidth="true" hidden="false" outlineLevel="0" max="4" min="4" style="0" width="34"/>
    <col collapsed="false" customWidth="true" hidden="false" outlineLevel="0" max="5" min="5" style="0" width="28"/>
  </cols>
  <sheetData>
    <row r="1" customFormat="false" ht="30" hidden="false" customHeight="true" outlineLevel="0" collapsed="false">
      <c r="A1" s="1" t="s">
        <v>204</v>
      </c>
      <c r="B1" s="1"/>
      <c r="C1" s="1"/>
      <c r="D1" s="1"/>
      <c r="E1" s="1"/>
    </row>
    <row r="2" customFormat="false" ht="18" hidden="false" customHeight="true" outlineLevel="0" collapsed="false">
      <c r="A2" s="2" t="s">
        <v>205</v>
      </c>
      <c r="B2" s="2"/>
      <c r="C2" s="2"/>
      <c r="D2" s="2"/>
      <c r="E2" s="2"/>
    </row>
    <row r="3" customFormat="false" ht="25.5" hidden="false" customHeight="true" outlineLevel="0" collapsed="false">
      <c r="A3" s="7" t="s">
        <v>206</v>
      </c>
      <c r="B3" s="7" t="s">
        <v>207</v>
      </c>
      <c r="C3" s="7" t="s">
        <v>208</v>
      </c>
      <c r="D3" s="7" t="s">
        <v>209</v>
      </c>
      <c r="E3" s="7" t="s">
        <v>210</v>
      </c>
    </row>
    <row r="4" customFormat="false" ht="39.75" hidden="false" customHeight="true" outlineLevel="0" collapsed="false">
      <c r="A4" s="40" t="s">
        <v>62</v>
      </c>
      <c r="B4" s="36" t="s">
        <v>211</v>
      </c>
      <c r="C4" s="41" t="s">
        <v>212</v>
      </c>
      <c r="D4" s="36" t="s">
        <v>213</v>
      </c>
      <c r="E4" s="42" t="s">
        <v>214</v>
      </c>
    </row>
    <row r="5" customFormat="false" ht="39.75" hidden="false" customHeight="true" outlineLevel="0" collapsed="false">
      <c r="A5" s="40" t="s">
        <v>66</v>
      </c>
      <c r="B5" s="36" t="s">
        <v>215</v>
      </c>
      <c r="C5" s="41" t="s">
        <v>216</v>
      </c>
      <c r="D5" s="36" t="s">
        <v>217</v>
      </c>
      <c r="E5" s="42" t="s">
        <v>214</v>
      </c>
    </row>
    <row r="6" customFormat="false" ht="39.75" hidden="false" customHeight="true" outlineLevel="0" collapsed="false">
      <c r="A6" s="40" t="s">
        <v>69</v>
      </c>
      <c r="B6" s="36" t="s">
        <v>218</v>
      </c>
      <c r="C6" s="41" t="s">
        <v>219</v>
      </c>
      <c r="D6" s="36" t="s">
        <v>220</v>
      </c>
      <c r="E6" s="42" t="s">
        <v>221</v>
      </c>
    </row>
    <row r="7" customFormat="false" ht="39.75" hidden="false" customHeight="true" outlineLevel="0" collapsed="false">
      <c r="A7" s="40" t="s">
        <v>222</v>
      </c>
      <c r="B7" s="36" t="s">
        <v>223</v>
      </c>
      <c r="C7" s="41" t="s">
        <v>224</v>
      </c>
      <c r="D7" s="36" t="s">
        <v>225</v>
      </c>
      <c r="E7" s="42" t="s">
        <v>226</v>
      </c>
    </row>
    <row r="8" customFormat="false" ht="39.75" hidden="false" customHeight="true" outlineLevel="0" collapsed="false">
      <c r="A8" s="40" t="s">
        <v>227</v>
      </c>
      <c r="B8" s="36" t="s">
        <v>228</v>
      </c>
      <c r="C8" s="41" t="s">
        <v>229</v>
      </c>
      <c r="D8" s="36" t="s">
        <v>230</v>
      </c>
      <c r="E8" s="42" t="s">
        <v>231</v>
      </c>
    </row>
    <row r="9" customFormat="false" ht="39.75" hidden="false" customHeight="true" outlineLevel="0" collapsed="false">
      <c r="A9" s="40" t="s">
        <v>232</v>
      </c>
      <c r="B9" s="36" t="s">
        <v>233</v>
      </c>
      <c r="C9" s="41" t="s">
        <v>234</v>
      </c>
      <c r="D9" s="36" t="s">
        <v>235</v>
      </c>
      <c r="E9" s="42" t="s">
        <v>236</v>
      </c>
    </row>
    <row r="10" customFormat="false" ht="39.75" hidden="false" customHeight="true" outlineLevel="0" collapsed="false">
      <c r="A10" s="40" t="s">
        <v>237</v>
      </c>
      <c r="B10" s="36" t="s">
        <v>238</v>
      </c>
      <c r="C10" s="41" t="s">
        <v>239</v>
      </c>
      <c r="D10" s="36" t="s">
        <v>240</v>
      </c>
      <c r="E10" s="42" t="s">
        <v>241</v>
      </c>
    </row>
    <row r="11" customFormat="false" ht="39.75" hidden="false" customHeight="true" outlineLevel="0" collapsed="false">
      <c r="A11" s="40" t="s">
        <v>242</v>
      </c>
      <c r="B11" s="36" t="s">
        <v>243</v>
      </c>
      <c r="C11" s="41" t="s">
        <v>244</v>
      </c>
      <c r="D11" s="36" t="s">
        <v>245</v>
      </c>
      <c r="E11" s="42" t="s">
        <v>226</v>
      </c>
    </row>
    <row r="12" customFormat="false" ht="39.75" hidden="false" customHeight="true" outlineLevel="0" collapsed="false">
      <c r="A12" s="40" t="s">
        <v>246</v>
      </c>
      <c r="B12" s="36" t="s">
        <v>247</v>
      </c>
      <c r="C12" s="41" t="s">
        <v>248</v>
      </c>
      <c r="D12" s="36" t="s">
        <v>249</v>
      </c>
      <c r="E12" s="42" t="s">
        <v>250</v>
      </c>
    </row>
    <row r="13" customFormat="false" ht="39.75" hidden="false" customHeight="true" outlineLevel="0" collapsed="false">
      <c r="A13" s="40" t="s">
        <v>251</v>
      </c>
      <c r="B13" s="36" t="s">
        <v>252</v>
      </c>
      <c r="C13" s="41" t="s">
        <v>253</v>
      </c>
      <c r="D13" s="36" t="s">
        <v>254</v>
      </c>
      <c r="E13" s="42" t="s">
        <v>255</v>
      </c>
    </row>
    <row r="14" customFormat="false" ht="39.75" hidden="false" customHeight="true" outlineLevel="0" collapsed="false">
      <c r="A14" s="40" t="s">
        <v>256</v>
      </c>
      <c r="B14" s="36" t="s">
        <v>257</v>
      </c>
      <c r="C14" s="41" t="s">
        <v>258</v>
      </c>
      <c r="D14" s="36" t="s">
        <v>259</v>
      </c>
      <c r="E14" s="42" t="s">
        <v>260</v>
      </c>
    </row>
    <row r="15" customFormat="false" ht="39.75" hidden="false" customHeight="true" outlineLevel="0" collapsed="false">
      <c r="A15" s="40" t="s">
        <v>261</v>
      </c>
      <c r="B15" s="36" t="s">
        <v>262</v>
      </c>
      <c r="C15" s="41" t="s">
        <v>263</v>
      </c>
      <c r="D15" s="36" t="s">
        <v>264</v>
      </c>
      <c r="E15" s="42" t="s">
        <v>265</v>
      </c>
    </row>
    <row r="16" customFormat="false" ht="39.75" hidden="false" customHeight="true" outlineLevel="0" collapsed="false">
      <c r="A16" s="40" t="s">
        <v>96</v>
      </c>
      <c r="B16" s="36" t="s">
        <v>266</v>
      </c>
      <c r="C16" s="41" t="s">
        <v>267</v>
      </c>
      <c r="D16" s="36" t="s">
        <v>268</v>
      </c>
      <c r="E16" s="42" t="s">
        <v>269</v>
      </c>
    </row>
    <row r="17" customFormat="false" ht="39.75" hidden="false" customHeight="true" outlineLevel="0" collapsed="false">
      <c r="A17" s="40" t="s">
        <v>99</v>
      </c>
      <c r="B17" s="36" t="s">
        <v>270</v>
      </c>
      <c r="C17" s="41" t="s">
        <v>271</v>
      </c>
      <c r="D17" s="36" t="s">
        <v>272</v>
      </c>
      <c r="E17" s="42" t="s">
        <v>273</v>
      </c>
    </row>
    <row r="18" customFormat="false" ht="39.75" hidden="false" customHeight="true" outlineLevel="0" collapsed="false">
      <c r="A18" s="40" t="s">
        <v>102</v>
      </c>
      <c r="B18" s="36" t="s">
        <v>274</v>
      </c>
      <c r="C18" s="41" t="s">
        <v>275</v>
      </c>
      <c r="D18" s="36" t="s">
        <v>276</v>
      </c>
      <c r="E18" s="42" t="s">
        <v>255</v>
      </c>
    </row>
    <row r="19" customFormat="false" ht="39.75" hidden="false" customHeight="true" outlineLevel="0" collapsed="false">
      <c r="A19" s="40" t="s">
        <v>105</v>
      </c>
      <c r="B19" s="36" t="s">
        <v>277</v>
      </c>
      <c r="C19" s="41" t="s">
        <v>278</v>
      </c>
      <c r="D19" s="36" t="s">
        <v>279</v>
      </c>
      <c r="E19" s="42" t="s">
        <v>280</v>
      </c>
    </row>
    <row r="20" customFormat="false" ht="39.75" hidden="false" customHeight="true" outlineLevel="0" collapsed="false">
      <c r="A20" s="40" t="s">
        <v>108</v>
      </c>
      <c r="B20" s="36" t="s">
        <v>281</v>
      </c>
      <c r="C20" s="41" t="s">
        <v>282</v>
      </c>
      <c r="D20" s="36" t="s">
        <v>283</v>
      </c>
      <c r="E20" s="42" t="s">
        <v>269</v>
      </c>
    </row>
    <row r="21" customFormat="false" ht="39.75" hidden="false" customHeight="true" outlineLevel="0" collapsed="false">
      <c r="A21" s="40" t="s">
        <v>111</v>
      </c>
      <c r="B21" s="36" t="s">
        <v>284</v>
      </c>
      <c r="C21" s="41" t="s">
        <v>285</v>
      </c>
      <c r="D21" s="36" t="s">
        <v>286</v>
      </c>
      <c r="E21" s="42" t="s">
        <v>269</v>
      </c>
    </row>
    <row r="22" customFormat="false" ht="39.75" hidden="false" customHeight="true" outlineLevel="0" collapsed="false">
      <c r="A22" s="40" t="s">
        <v>114</v>
      </c>
      <c r="B22" s="36" t="s">
        <v>287</v>
      </c>
      <c r="C22" s="41" t="s">
        <v>288</v>
      </c>
      <c r="D22" s="36" t="s">
        <v>289</v>
      </c>
      <c r="E22" s="42" t="s">
        <v>236</v>
      </c>
    </row>
    <row r="23" customFormat="false" ht="39.75" hidden="false" customHeight="true" outlineLevel="0" collapsed="false">
      <c r="A23" s="40" t="s">
        <v>117</v>
      </c>
      <c r="B23" s="36" t="s">
        <v>290</v>
      </c>
      <c r="C23" s="41" t="s">
        <v>291</v>
      </c>
      <c r="D23" s="36" t="s">
        <v>292</v>
      </c>
      <c r="E23" s="42" t="s">
        <v>231</v>
      </c>
    </row>
    <row r="24" customFormat="false" ht="39.75" hidden="false" customHeight="true" outlineLevel="0" collapsed="false">
      <c r="A24" s="40" t="s">
        <v>120</v>
      </c>
      <c r="B24" s="36" t="s">
        <v>293</v>
      </c>
      <c r="C24" s="41" t="s">
        <v>294</v>
      </c>
      <c r="D24" s="36" t="s">
        <v>295</v>
      </c>
      <c r="E24" s="42" t="s">
        <v>296</v>
      </c>
    </row>
    <row r="25" customFormat="false" ht="39.75" hidden="false" customHeight="true" outlineLevel="0" collapsed="false">
      <c r="A25" s="40" t="s">
        <v>123</v>
      </c>
      <c r="B25" s="36" t="s">
        <v>297</v>
      </c>
      <c r="C25" s="41" t="s">
        <v>298</v>
      </c>
      <c r="D25" s="36" t="s">
        <v>299</v>
      </c>
      <c r="E25" s="42" t="s">
        <v>255</v>
      </c>
    </row>
    <row r="26" customFormat="false" ht="39.75" hidden="false" customHeight="true" outlineLevel="0" collapsed="false">
      <c r="A26" s="40" t="s">
        <v>126</v>
      </c>
      <c r="B26" s="36" t="s">
        <v>300</v>
      </c>
      <c r="C26" s="41" t="s">
        <v>301</v>
      </c>
      <c r="D26" s="36" t="s">
        <v>302</v>
      </c>
      <c r="E26" s="42" t="s">
        <v>303</v>
      </c>
    </row>
    <row r="27" customFormat="false" ht="39.75" hidden="false" customHeight="true" outlineLevel="0" collapsed="false">
      <c r="A27" s="40" t="s">
        <v>129</v>
      </c>
      <c r="B27" s="36" t="s">
        <v>304</v>
      </c>
      <c r="C27" s="41" t="s">
        <v>305</v>
      </c>
      <c r="D27" s="36" t="s">
        <v>306</v>
      </c>
      <c r="E27" s="42" t="s">
        <v>307</v>
      </c>
    </row>
    <row r="28" customFormat="false" ht="39.75" hidden="false" customHeight="true" outlineLevel="0" collapsed="false">
      <c r="A28" s="40" t="s">
        <v>132</v>
      </c>
      <c r="B28" s="36" t="s">
        <v>308</v>
      </c>
      <c r="C28" s="41" t="s">
        <v>309</v>
      </c>
      <c r="D28" s="36" t="s">
        <v>310</v>
      </c>
      <c r="E28" s="42" t="s">
        <v>221</v>
      </c>
    </row>
    <row r="29" customFormat="false" ht="39.75" hidden="false" customHeight="true" outlineLevel="0" collapsed="false">
      <c r="A29" s="40" t="s">
        <v>135</v>
      </c>
      <c r="B29" s="36" t="s">
        <v>311</v>
      </c>
      <c r="C29" s="41" t="s">
        <v>312</v>
      </c>
      <c r="D29" s="36" t="s">
        <v>313</v>
      </c>
      <c r="E29" s="42" t="s">
        <v>265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2026-05-29T17:45:45Z</dcterms:created>
  <dc:creator>openpyxl</dc:creator>
  <dc:description/>
  <dc:language>en-US</dc:language>
  <cp:lastModifiedBy/>
  <dcterms:modified xsi:type="dcterms:W3CDTF">2026-05-29T17:48:07Z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