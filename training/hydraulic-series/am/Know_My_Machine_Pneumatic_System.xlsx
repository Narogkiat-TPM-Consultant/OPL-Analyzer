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System_Map" sheetId="2" state="visible" r:id="rId4"/>
    <sheet name="Component_Analysis" sheetId="3" state="visible" r:id="rId5"/>
    <sheet name="Forced_Deterioration" sheetId="4" state="visible" r:id="rId6"/>
    <sheet name="Operating_Conditions" sheetId="5" state="visible" r:id="rId7"/>
    <sheet name="Skill_Check" sheetId="6" state="visible" r:id="rId8"/>
    <sheet name="Answer_Key" sheetId="7" state="visible" r:id="rId9"/>
    <sheet name="To_Confirm" sheetId="8" state="visible" r:id="rId10"/>
  </sheets>
  <definedNames>
    <definedName function="false" hidden="false" localSheetId="2" name="_xlnm.Print_Titles" vbProcedure="false">Component_Analysis!$4:$4</definedName>
    <definedName function="false" hidden="false" localSheetId="1" name="_xlnm.Print_Titles" vbProcedure="false">System_Map!$5:$5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<sst xmlns="http://schemas.openxmlformats.org/spreadsheetml/2006/main" count="447" uniqueCount="377">
  <si>
    <r>
      <rPr>
        <b val="true"/>
        <sz val="15"/>
        <color rgb="FFFFFFFF"/>
        <rFont val="Tahoma"/>
        <family val="0"/>
        <charset val="1"/>
      </rPr>
      <t xml:space="preserve">Know My Machine — Pneumatic System (</t>
    </r>
    <r>
      <rPr>
        <b val="true"/>
        <sz val="15"/>
        <color rgb="FFFFFFFF"/>
        <rFont val="WenQuanYi Zen Hei"/>
        <family val="2"/>
      </rPr>
      <t xml:space="preserve">設備を知る </t>
    </r>
    <r>
      <rPr>
        <b val="true"/>
        <sz val="15"/>
        <color rgb="FFFFFFFF"/>
        <rFont val="Tahoma"/>
        <family val="0"/>
        <charset val="1"/>
      </rPr>
      <t xml:space="preserve">= รู้จักเครื่องจักรของเรา · ระบบลม)</t>
    </r>
  </si>
  <si>
    <t xml:space="preserve">AM Step 0 / Step 4 Module 4-4 (Pneumatics) · จาก OPL 5'-A-1 … 5'-C-5 (JIPM-Solutions · Equipment Skills Training – Pneumatic) · วิดีโอ EP22–EP31</t>
  </si>
  <si>
    <t xml:space="preserve">เครื่องจักร</t>
  </si>
  <si>
    <t xml:space="preserve">Line / แผนก</t>
  </si>
  <si>
    <t xml:space="preserve">ผู้จัดทำ</t>
  </si>
  <si>
    <t xml:space="preserve">วันที่</t>
  </si>
  <si>
    <t xml:space="preserve">ชีท</t>
  </si>
  <si>
    <t xml:space="preserve">ใช้ทำอะไร</t>
  </si>
  <si>
    <t xml:space="preserve">System_Map</t>
  </si>
  <si>
    <t xml:space="preserve">ระบบลมของเครื่องตามทางลม 4 ส่วน (แหล่งลม · อุปกรณ์ประกอบ · ส่วนควบคุม · ส่วนทำงาน) + ช่องกรอกตำแหน่ง/Tag No./จำนวนบนเครื่องจริง</t>
  </si>
  <si>
    <t xml:space="preserve">Component_Analysis</t>
  </si>
  <si>
    <t xml:space="preserve">แต่ละชิ้นส่วน: หน้าที่ · โครงสร้าง · หลักการ · สภาพที่ถูกต้อง · การเสื่อม (ปกติ/เร่ง) · ผลถ้าปล่อยไว้ · จุดตรวจ AM · งาน PM · Safety</t>
  </si>
  <si>
    <t xml:space="preserve">Forced_Deterioration</t>
  </si>
  <si>
    <t xml:space="preserve">6 สาเหตุของการเสีย (6 Factors of failures) → ตัวอย่างในระบบลม → มาตรการ → ข้อตรวจใน AM Check Sheet</t>
  </si>
  <si>
    <t xml:space="preserve">Operating_Conditions</t>
  </si>
  <si>
    <t xml:space="preserve">ค่ามาตรฐานและรอบการดูแล (ตามต้นฉบับ) + ช่องกรอกค่าของเครื่องนี้</t>
  </si>
  <si>
    <t xml:space="preserve">Skill_Check</t>
  </si>
  <si>
    <t xml:space="preserve">แบบทดสอบ 10 ข้อหลังดูวิดีโอ + ตารางผลรายคน (ระดับทักษะ 1–4) · เฉลยอยู่ชีท Answer_Key</t>
  </si>
  <si>
    <t xml:space="preserve">To_Confirm</t>
  </si>
  <si>
    <t xml:space="preserve">ประเด็นที่หัวหน้างาน/ฝ่ายซ่อม/Safety ต้องยืนยันก่อนใช้จริง</t>
  </si>
  <si>
    <t xml:space="preserve">ป้ายที่มา</t>
  </si>
  <si>
    <t xml:space="preserve">PDF p.x = จากต้นฉบับ · [INFER] = หลักวิศวกรรมทั่วไป ไม่อยู่ในต้นฉบับ · * = ข้อเสนอ ให้หัวหน้างานยืนยัน · [DATA REQUIRED] = ค่าของเครื่อง (ช่องเหลือง)</t>
  </si>
  <si>
    <t xml:space="preserve">ความเชื่อมั่น (Confidence)</t>
  </si>
  <si>
    <t xml:space="preserve">HIGH: ข้อที่มี PDF p.x · MEDIUM: ข้อ [INFER] · ต้องกรอก [DATA REQUIRED] ก่อนใช้กับเครื่องจริง</t>
  </si>
  <si>
    <t xml:space="preserve">วิธีใช้</t>
  </si>
  <si>
    <t xml:space="preserve">1) ทีมเดินดูเครื่องจริงพร้อมชีท System_Map กรอกตำแหน่ง · 2) หัวหน้าทีมสอนด้วยวิดีโอ + Component_Analysis · 3) ทำ Skill_Check · 4) ติด Visual control ตามจุดตรวจ</t>
  </si>
  <si>
    <t xml:space="preserve">เชื่อมกับ</t>
  </si>
  <si>
    <t xml:space="preserve">AM_Check_Sheet_Pneumatic_System.xlsx (จุดตรวจรายวัน/สัปดาห์/รอบ) · วิดีโอ EP22–EP31</t>
  </si>
  <si>
    <t xml:space="preserve">System Map — ระบบลมของเครื่อง (ตามทางลม)</t>
  </si>
  <si>
    <t xml:space="preserve">วงจรตัวอย่างตามต้นฉบับ PDF p.36 · ช่องสีเหลือง = กรอกจากการเดินดูเครื่องจริง</t>
  </si>
  <si>
    <t xml:space="preserve">ทางลม: Compressor (แหล่งลม) → Stop valve → Air filter → Regulator + เกจ → Lubricator → Solenoid valve → Speed controller → Air cylinder · ไอเสียออกที่ Exhaust port / Silencer</t>
  </si>
  <si>
    <t xml:space="preserve">ส่วน (p.36)</t>
  </si>
  <si>
    <t xml:space="preserve">กลุ่ม</t>
  </si>
  <si>
    <t xml:space="preserve">ชิ้นส่วน</t>
  </si>
  <si>
    <t xml:space="preserve">หน้าที่</t>
  </si>
  <si>
    <t xml:space="preserve">ตำแหน่ง / Tag No. บนเครื่อง</t>
  </si>
  <si>
    <t xml:space="preserve">จำนวน</t>
  </si>
  <si>
    <t xml:space="preserve">OPL · วิดีโอ</t>
  </si>
  <si>
    <t xml:space="preserve">ที่มา</t>
  </si>
  <si>
    <t xml:space="preserve">①</t>
  </si>
  <si>
    <t xml:space="preserve">แหล่งลม (Air source)</t>
  </si>
  <si>
    <t xml:space="preserve">Compressor</t>
  </si>
  <si>
    <t xml:space="preserve">ผลิตลมอัด ต่อท่อไปทั้งโรงงานได้ง่าย</t>
  </si>
  <si>
    <t xml:space="preserve">5'-A-1, 5'-A-2 · EP22</t>
  </si>
  <si>
    <t xml:space="preserve">PDF p.35–36</t>
  </si>
  <si>
    <t xml:space="preserve">—</t>
  </si>
  <si>
    <t xml:space="preserve">ระบบท่อ (Piping)</t>
  </si>
  <si>
    <t xml:space="preserve">ท่อ · ข้อต่อ · Stop valve · สายยาง</t>
  </si>
  <si>
    <t xml:space="preserve">ส่งลมจาก Compressor ถึงเครื่อง</t>
  </si>
  <si>
    <t xml:space="preserve">5'-B-1, 5'-C-2 · EP26, EP29</t>
  </si>
  <si>
    <t xml:space="preserve">PDF p.41, p.45</t>
  </si>
  <si>
    <t xml:space="preserve">②</t>
  </si>
  <si>
    <t xml:space="preserve">อุปกรณ์ประกอบ (Accessories)</t>
  </si>
  <si>
    <t xml:space="preserve">Air filter (ตัวกรองลม)</t>
  </si>
  <si>
    <t xml:space="preserve">กรองฝุ่นและน้ำออกจากลมโรงงาน · ตัวแรกของชุด 3 ตัว (FRL)</t>
  </si>
  <si>
    <t xml:space="preserve">5'-A-4 · EP23</t>
  </si>
  <si>
    <t xml:space="preserve">PDF p.38, p.48</t>
  </si>
  <si>
    <t xml:space="preserve">③</t>
  </si>
  <si>
    <t xml:space="preserve">ส่วนควบคุม (Controller) · Pressure</t>
  </si>
  <si>
    <t xml:space="preserve">Regulator (ตัวปรับแรงดัน)</t>
  </si>
  <si>
    <t xml:space="preserve">ลดแรงดันให้คงที่ตามที่ใช้ แม้แรงดันขาเข้าเปลี่ยน</t>
  </si>
  <si>
    <t xml:space="preserve">5'-A-5 · EP24</t>
  </si>
  <si>
    <t xml:space="preserve">PDF p.39, p.48</t>
  </si>
  <si>
    <t xml:space="preserve">Pressure gauge (เกจแรงดัน)</t>
  </si>
  <si>
    <t xml:space="preserve">ยืนยันค่าแรงดันที่ตั้ง</t>
  </si>
  <si>
    <t xml:space="preserve">PDF p.36, p.39</t>
  </si>
  <si>
    <t xml:space="preserve">Lubricator (ตัวจ่ายน้ำมัน)</t>
  </si>
  <si>
    <t xml:space="preserve">ทำน้ำมันเป็นละอองผสมลม ไปหล่อลื่นวาล์วและกระบอกสูบ</t>
  </si>
  <si>
    <t xml:space="preserve">5'-A-6 · EP25</t>
  </si>
  <si>
    <t xml:space="preserve">PDF p.40, p.48</t>
  </si>
  <si>
    <t xml:space="preserve">ส่วนควบคุม (Controller) · Direction</t>
  </si>
  <si>
    <t xml:space="preserve">Solenoid valve / Direction change valve</t>
  </si>
  <si>
    <t xml:space="preserve">เปลี่ยนทิศทางลมเข้า–ออกกระบอกสูบ</t>
  </si>
  <si>
    <t xml:space="preserve">5'-A-2, 5'-C-2 · EP22, EP29</t>
  </si>
  <si>
    <t xml:space="preserve">PDF p.36, p.45</t>
  </si>
  <si>
    <t xml:space="preserve">ส่วนควบคุม (Controller) · Flow</t>
  </si>
  <si>
    <t xml:space="preserve">Speed controller (วาล์วปรับความเร็ว)</t>
  </si>
  <si>
    <t xml:space="preserve">ปรับอัตราไหล → ความเร็วกระบอกสูบ</t>
  </si>
  <si>
    <t xml:space="preserve">Relief valve (วาล์วระบาย)</t>
  </si>
  <si>
    <t xml:space="preserve">วาล์วควบคุมแรงดัน (Safety valve)</t>
  </si>
  <si>
    <t xml:space="preserve">5'-C-3 · EP29</t>
  </si>
  <si>
    <t xml:space="preserve">PDF p.36–37, p.46</t>
  </si>
  <si>
    <t xml:space="preserve">④</t>
  </si>
  <si>
    <t xml:space="preserve">ส่วนทำงาน (Actuator)</t>
  </si>
  <si>
    <t xml:space="preserve">Air cylinder (กระบอกสูบลม)</t>
  </si>
  <si>
    <t xml:space="preserve">เปลี่ยนแรงดันลมเป็นการเคลื่อนที่</t>
  </si>
  <si>
    <t xml:space="preserve">Silencer / Exhaust port</t>
  </si>
  <si>
    <t xml:space="preserve">ทางลมระบายของวาล์ว · จุดดูน้ำมันที่ออกมา</t>
  </si>
  <si>
    <t xml:space="preserve">5'-A-6, 5'-C-2 · EP25, EP29</t>
  </si>
  <si>
    <t xml:space="preserve">PDF p.36, p.40, p.45</t>
  </si>
  <si>
    <t xml:space="preserve">สายลม (Air tube)</t>
  </si>
  <si>
    <t xml:space="preserve">Air tube + Binder / Lock band</t>
  </si>
  <si>
    <t xml:space="preserve">ส่งลมระหว่างอุปกรณ์ · รัดกันเสียดสีและให้ทำความสะอาดง่าย</t>
  </si>
  <si>
    <t xml:space="preserve">5'-C-4 · EP30</t>
  </si>
  <si>
    <t xml:space="preserve">PDF p.47</t>
  </si>
  <si>
    <t xml:space="preserve">Know My Machine — Component Analysis · ระบบลม</t>
  </si>
  <si>
    <t xml:space="preserve">อ่านจากซ้ายไปขวา: รู้หน้าที่ → รู้สภาพที่ถูกต้อง → รู้ว่าเสื่อมอย่างไร → รู้ว่าต้องตรวจอะไร · ข้อความสีส้ม = [INFER] / * / [DATA REQUIRED]</t>
  </si>
  <si>
    <t xml:space="preserve">หน้าที่ (Function)</t>
  </si>
  <si>
    <t xml:space="preserve">โครงสร้าง / ชิ้นส่วนสำคัญ</t>
  </si>
  <si>
    <t xml:space="preserve">หลักการทำงาน</t>
  </si>
  <si>
    <t xml:space="preserve">สภาพที่ถูกต้อง (Basic condition)</t>
  </si>
  <si>
    <t xml:space="preserve">การเสื่อม (ปกติ / เร่ง = Forced)</t>
  </si>
  <si>
    <t xml:space="preserve">ถ้าปล่อยไว้ → ผลกระทบ</t>
  </si>
  <si>
    <t xml:space="preserve">จุดตรวจ AM (วิธี · รอบ)</t>
  </si>
  <si>
    <t xml:space="preserve">งาน PM</t>
  </si>
  <si>
    <t xml:space="preserve">Safety</t>
  </si>
  <si>
    <t xml:space="preserve">Air filter
(ตัวกรองลม)</t>
  </si>
  <si>
    <t xml:space="preserve">กรองสิ่งปนเปื้อน (น้ำมัน · น้ำ · ฝุ่น · สนิม) ออกจากลมโรงงาน ก่อนถึง Solenoid valve และกระบอกสูบ</t>
  </si>
  <si>
    <t xml:space="preserve">Deflector · Filter element · Baffle plate (ต้นฉบับ “Bubble plate”) · ถ้วยใส (Bowl) · Drain (Manual / Auto)</t>
  </si>
  <si>
    <t xml:space="preserve">ลมเข้า → Deflector ทำให้หมุนเหวี่ยง สิ่งปนเปื้อนชิดผนังแล้วตกก้นถ้วย → ลมผ่าน Element ไป OUT · Baffle plate กันสิ่งที่ตกแล้วไม่ให้ปนกลับ</t>
  </si>
  <si>
    <t xml:space="preserve">ไม่มีน้ำขังในถ้วย · Element ไม่ตัน · ถ้วยไม่แตกร้าว</t>
  </si>
  <si>
    <t xml:space="preserve">น้ำและสิ่งสกปรกสะสม → Element ตัน
เร่ง: ไม่ระบาย Drain · กลางคืนอุณหภูมิลดจึงเกิดน้ำ · สนิมในท่อทำให้ Filter ตันเร็ว</t>
  </si>
  <si>
    <t xml:space="preserve">น้ำ/สนิมไปถึงวาล์ว–กระบอกสูบ → ทำงานผิดปกติ ลมรั่ว · Element ตัน → เข็มเกจ Regulator แกว่ง</t>
  </si>
  <si>
    <t xml:space="preserve">น้ำขังในถ้วย: ตา · ทุกวัน → เปิด Drain
เข็มเกจแกว่งขณะเดิน: ตา · ทุกวัน → เปลี่ยน Element
Auto drain ทำงาน: 3 เดือน</t>
  </si>
  <si>
    <t xml:space="preserve">1 ปี: Case แตกร้าว · Element ตัน
Element โลหะ: ล้างน้ำมันก๊าด + แปรงไนลอน · Element อัลลอย (สีเงิน): เปลี่ยนใหม่ ห้ามใช้ซ้ำ</t>
  </si>
  <si>
    <t xml:space="preserve">ปล่อยแรงดันค้างก่อนถอดถ้วย — ถ้วยอาจหลุดกระเด็น</t>
  </si>
  <si>
    <t xml:space="preserve">5'-A-4, 5'-C-5 · EP23, EP31</t>
  </si>
  <si>
    <t xml:space="preserve">PDF p.38, p.42, p.44–46, p.48–49</t>
  </si>
  <si>
    <t xml:space="preserve">Regulator
(ตัวปรับแรงดัน)</t>
  </si>
  <si>
    <t xml:space="preserve">ลดแรงดันลมโรงงานให้คงที่ตามที่ใช้ แม้แรงดันขาเข้าเปลี่ยน</t>
  </si>
  <si>
    <t xml:space="preserve">Handle · Lock nut · Adjust spring · Diaphragm · Stem · Valve unit</t>
  </si>
  <si>
    <t xml:space="preserve">หมุน Handle กดสปริง → Stem ดันวาล์วเปิด ลมไหล · ถ้าแรงดันขาออกสูงกว่าค่าตั้ง Diaphragm ดึงขึ้น → วาล์วปิด ลมหยุด · สมดุลแรงสปริงกับแรงดันบน Diaphragm</t>
  </si>
  <si>
    <t xml:space="preserve">ตั้งค่าแล้วขัน Lock nut · เกจชี้ค่าตั้ง (แถบเขียว)
ขัน Handle → แรงดันเพิ่ม · คลาย → ลด</t>
  </si>
  <si>
    <t xml:space="preserve">Diaphragm เสียหาย · สปริงสนิม/ล้า/หัก · Packing บาก
เร่ง: Lock nut หลวม → Handle หมุนเองจากแรงสั่นของเครื่อง</t>
  </si>
  <si>
    <t xml:space="preserve">ค่าตั้งแรงดันเคลื่อน → แรงของกระบอกสูบไม่ตรงที่ต้องการ [INFER]</t>
  </si>
  <si>
    <t xml:space="preserve">Lock nut หลวม: ตา · ทุกวัน → ขันให้แน่น
ลองหมุนปรับดูเกจ: 3 เดือน</t>
  </si>
  <si>
    <t xml:space="preserve">1 ปี: Diaphragm · สปริง · Packing</t>
  </si>
  <si>
    <t xml:space="preserve">5'-A-5, 5'-C-5 · EP24, EP31</t>
  </si>
  <si>
    <t xml:space="preserve">PDF p.39, p.45–46, p.49</t>
  </si>
  <si>
    <t xml:space="preserve">Pressure gauge
(เกจแรงดัน)</t>
  </si>
  <si>
    <t xml:space="preserve">กระจก · เข็ม · สเกล · แถบเขียวที่ค่าตั้ง</t>
  </si>
  <si>
    <t xml:space="preserve">ขณะเดิน: ชี้ในช่วงใช้งานปกติ (แถบเขียว) · ปล่อยแรงดันแล้วชี้ 0</t>
  </si>
  <si>
    <r>
      <rPr>
        <sz val="9"/>
        <color rgb="FF1A1D21"/>
        <rFont val="Tahoma"/>
        <family val="0"/>
        <charset val="1"/>
      </rPr>
      <t xml:space="preserve">กระจกแตก · เข็มผิดปกติ · ค่าเพี้ยน (ต้นฉบับ “confusion” = </t>
    </r>
    <r>
      <rPr>
        <sz val="9"/>
        <color rgb="FF1A1D21"/>
        <rFont val="WenQuanYi Zen Hei"/>
        <family val="2"/>
      </rPr>
      <t xml:space="preserve">狂い</t>
    </r>
    <r>
      <rPr>
        <sz val="9"/>
        <color rgb="FF1A1D21"/>
        <rFont val="Tahoma"/>
        <family val="0"/>
        <charset val="1"/>
      </rPr>
      <t xml:space="preserve">)</t>
    </r>
  </si>
  <si>
    <t xml:space="preserve">อ่านค่าแรงดันผิด → ตั้งแรงดันผิด [INFER]</t>
  </si>
  <si>
    <t xml:space="preserve">ชี้ในช่วงปกติ: ตา · ทุกวัน
กระจก/เข็ม: ตา → เปลี่ยนเกจ
ปล่อยแรงดันแล้วชี้ 0: 3 เดือน</t>
  </si>
  <si>
    <t xml:space="preserve">1 ปี: ความเที่ยง (Accuracy)</t>
  </si>
  <si>
    <t xml:space="preserve">5'-A-5, 5'-C-1 · EP24, EP28</t>
  </si>
  <si>
    <t xml:space="preserve">PDF p.39, p.44–46</t>
  </si>
  <si>
    <t xml:space="preserve">Lubricator
(ตัวจ่ายน้ำมัน)</t>
  </si>
  <si>
    <t xml:space="preserve">ทำน้ำมันเป็นละอองผสมลม ส่งไปหล่อลื่นอุปกรณ์ (ยกเว้นแบบ Oil-free)</t>
  </si>
  <si>
    <t xml:space="preserve">Oil drop window (Sight glass) · Drop adjust screw · Oil cap · Bowl
แบบ All-amount / Selective</t>
  </si>
  <si>
    <t xml:space="preserve">ลมเร็วผ่านวาล์วใต้หน้าต่าง → แรงดันต่ำ → น้ำมันถูกดันขึ้นท่อ หยดในหน้าต่าง → ลมเร็วตีเป็นละออง → OUT (หลักการเดียวกับกระบอกฉีดฝอย)</t>
  </si>
  <si>
    <t xml:space="preserve">หยด 2–6 หยด/นาที (ค่าจริงขึ้นกับอุปกรณ์ ปรึกษาฝ่ายซ่อม) · น้ำมันใส</t>
  </si>
  <si>
    <t xml:space="preserve">น้ำปน → น้ำมันขุ่นขาว · น้ำมันหมด/ไม่หยด
เร่ง: ไม่เติมตามรอบ · ปรับหยดเอง · จุดรั่ว (น้ำมันลดเร็ว)</t>
  </si>
  <si>
    <t xml:space="preserve">หล่อลื่นไม่พอ → เสียดทานเพิ่ม (กระบอกสูบไม่นิ่ง แรงไม่พอ วาล์วสลับไม่ดี) · ซีลสึก → ลมรั่ว · สนิมติดในวาล์ว/ลูกสูบ</t>
  </si>
  <si>
    <t xml:space="preserve">นับหยด 1 นาทีขณะเดิน: ทุกวัน
น้ำมันขุ่นขาว: ทุกวัน → เปลี่ยนน้ำมันใหม่
เติมน้ำมัน: สัปดาห์ละครั้ง (เดินหนัก ทุก 3 วัน)</t>
  </si>
  <si>
    <t xml:space="preserve">ตั้งค่าหยดตามอุปกรณ์และสภาพใช้งาน</t>
  </si>
  <si>
    <t xml:space="preserve">ปล่อยแรงดันก่อนเปิด Oil cap — แบบ Selective น้ำมันพุ่งออก</t>
  </si>
  <si>
    <t xml:space="preserve">5'-A-6, 5'-B-3, 5'-C-5 · EP25, EP27, EP31</t>
  </si>
  <si>
    <t xml:space="preserve">PDF p.40, p.43–44, p.49</t>
  </si>
  <si>
    <t xml:space="preserve">Solenoid valve
(Direction change valve)</t>
  </si>
  <si>
    <t xml:space="preserve">Coil · Magnet core · Spool · Spring · O-ring · Piston · Diaphragm · Cam lever · Exhaust port</t>
  </si>
  <si>
    <t xml:space="preserve">สลับทิศได้ราบรื่น · Exhaust port มีละอองน้ำมันพอดี · ไม่มีลมรั่ว</t>
  </si>
  <si>
    <t xml:space="preserve">Valve seat มีฝุ่น/รอยบาก · สปริงหัก/สนิม · Spool บาก/สึก · O-ring เสียรูป/แข็ง · ฉนวน Coil
เร่ง: สนิม/น้ำจากท่อติดในวาล์ว · หล่อลื่นไม่พอ</t>
  </si>
  <si>
    <t xml:space="preserve">วาล์วสลับไม่ดี ทำงานผิดปกติ · ลมรั่วจากวาล์ว</t>
  </si>
  <si>
    <t xml:space="preserve">Exhaust port ดูละอองน้ำมัน: 3 เดือน (น้อย → ตรวจ Lubricator · มาก → ปรับลด · รั่ว → ดู Valve seat/สปริง)
ลมรั่วที่ Exhaust port: 3 เดือน</t>
  </si>
  <si>
    <t xml:space="preserve">1 ปี: Coil · Core · สปริง · Piston · Spool · Diaphragm · O-ring · Cam lever</t>
  </si>
  <si>
    <t xml:space="preserve">ตัดไฟ + ปล่อยลมค้างก่อนถอด *</t>
  </si>
  <si>
    <t xml:space="preserve">5'-C-2, 5'-C-3 · EP29</t>
  </si>
  <si>
    <t xml:space="preserve">PDF p.42–43, p.45–46</t>
  </si>
  <si>
    <t xml:space="preserve">Speed controller
(Speed adjust valve)</t>
  </si>
  <si>
    <t xml:space="preserve">Needle valve · Seat packing</t>
  </si>
  <si>
    <t xml:space="preserve">ความเร็วการทำงานเหมือนทุกครั้ง · ปรับแล้วความเร็วเปลี่ยนตาม</t>
  </si>
  <si>
    <t xml:space="preserve">Needle valve บาก · Seat packing เสียหาย</t>
  </si>
  <si>
    <t xml:space="preserve">ความเร็วเปลี่ยนเอง / ปรับไม่ได้ [INFER]</t>
  </si>
  <si>
    <t xml:space="preserve">ความเร็วการทำงาน: ตา + นาฬิกา · ทุกวัน
ลองปรับความเร็ว: 3 เดือน</t>
  </si>
  <si>
    <t xml:space="preserve">1 ปี: Needle valve · Seat packing</t>
  </si>
  <si>
    <t xml:space="preserve">5'-C-1, 5'-C-2, 5'-C-3 · EP28, EP29</t>
  </si>
  <si>
    <t xml:space="preserve">PDF p.44–46</t>
  </si>
  <si>
    <t xml:space="preserve">Air cylinder
(กระบอกสูบลม)</t>
  </si>
  <si>
    <t xml:space="preserve">เปลี่ยนแรงดันลมเป็นการเคลื่อนที่ (Actuator)</t>
  </si>
  <si>
    <t xml:space="preserve">Tube · Piston · Rod · O-ring · Packing</t>
  </si>
  <si>
    <t xml:space="preserve">เคลื่อนที่ราบรื่น ความเร็วปกติ · ไม่รั่วที่ก้านสูบ</t>
  </si>
  <si>
    <t xml:space="preserve">Tube บาก/เสียรูป · O-ring/Packing บาก/สึก
เร่ง: หล่อลื่นไม่พอ · สนิมจากท่อติดในส่วนเลื่อน</t>
  </si>
  <si>
    <t xml:space="preserve">ไม่นิ่ง · แรงไม่พอ · ลมรั่ว</t>
  </si>
  <si>
    <t xml:space="preserve">ความเร็วการทำงาน: ทุกวัน
ลมรั่วที่ก้านสูบ: 3 เดือน</t>
  </si>
  <si>
    <t xml:space="preserve">1 ปี: ผิวใน Tube · O-ring · Packing</t>
  </si>
  <si>
    <t xml:space="preserve">กระบอกสูบอาจขยับเองตอนจ่ายลมกลับ — อยู่นอกระยะเคลื่อนที่ [INFER]</t>
  </si>
  <si>
    <t xml:space="preserve">5'-B-3, 5'-C-2, 5'-C-3 · EP27, EP29</t>
  </si>
  <si>
    <t xml:space="preserve">Relief valve
(วาล์วระบาย)</t>
  </si>
  <si>
    <t xml:space="preserve">Valve seat · Diaphragm · Spring</t>
  </si>
  <si>
    <t xml:space="preserve">ไม่มีรอยบาก ไม่เสียหาย</t>
  </si>
  <si>
    <t xml:space="preserve">Valve seat บาก · Diaphragm เสียหาย · สปริงสนิม/หัก</t>
  </si>
  <si>
    <t xml:space="preserve">[DATA REQUIRED] ตามตำแหน่งติดตั้งในวงจรของเครื่อง</t>
  </si>
  <si>
    <t xml:space="preserve">ลมรั่วที่ Relief hole ของ Regulator: 3 เดือน</t>
  </si>
  <si>
    <t xml:space="preserve">1 ปี: Valve seat · Diaphragm · สปริง</t>
  </si>
  <si>
    <t xml:space="preserve">PDF p.36–37, p.45–46</t>
  </si>
  <si>
    <t xml:space="preserve">ระบบท่อ · ข้อต่อ
(Piping)</t>
  </si>
  <si>
    <t xml:space="preserve">ส่งลมจาก Compressor ไปทั่วโรงงานถึงเครื่อง</t>
  </si>
  <si>
    <t xml:space="preserve">ท่อ · ข้อต่อเชื่อม · ข้อต่อเกลียว · ข้อต่อหน้าแปลน · Stop valve · สายยาง · ที่ยึดท่อ</t>
  </si>
  <si>
    <t xml:space="preserve">ลมเสียดสีผนังท่อ → แรงดันตกที่ปลายทาง · ท่อยาวหรือเล็กเกิน → แรงดันตกมากขึ้น</t>
  </si>
  <si>
    <t xml:space="preserve">ไม่รั่ว · ไม่สั่นผิดปกติ · หน้าแปลน/โบลต์/ที่ยึดไม่หลวม</t>
  </si>
  <si>
    <t xml:space="preserve">น้ำ (Drain) → สนิมในท่อ · กัดกร่อน · ท่อตัน
เร่ง: ฝุ่น/สนิมจากงานเดินท่อหรือซ่อม</t>
  </si>
  <si>
    <t xml:space="preserve">อัตราไหลไม่พอ แรงดันตก · สนิมไปติดวาล์ว/กระบอกสูบ · Water hammer</t>
  </si>
  <si>
    <t xml:space="preserve">ท่อสั่น · หน้าแปลน/โบลต์/ที่ยึดหลวม: ทุกวัน
ลมรั่ว (Table 2): 3 เดือน</t>
  </si>
  <si>
    <t xml:space="preserve">5'-B-1, 5'-B-2, 5'-C-1, 5'-C-2 · EP26, EP28, EP29</t>
  </si>
  <si>
    <t xml:space="preserve">PDF p.41–42, p.44–45</t>
  </si>
  <si>
    <t xml:space="preserve">Air tube + Binder
(สายลม + การรัด)</t>
  </si>
  <si>
    <t xml:space="preserve">ส่งลมระหว่างอุปกรณ์ · รัดเพื่อกันเสียดสีและให้ทำความสะอาดง่าย</t>
  </si>
  <si>
    <t xml:space="preserve">Air tube · Binder (เคเบิลไทร์) · Lock band (แบนด์ยึดสาย) · Band สำหรับรัดสายลม</t>
  </si>
  <si>
    <t xml:space="preserve">สายกลม · รัด Binder เผื่อระยะ · Lock band ตรงขนาดและจำนวนสาย · ใช้ Band เฉพาะสายลม</t>
  </si>
  <si>
    <t xml:space="preserve">ไม่รัด → สายเสียดสีสึก
เร่ง: รัดแน่นเกิน · Band ผิดขนาด/เกินจำนวน · ใช้ของทดแทน</t>
  </si>
  <si>
    <t xml:space="preserve">สายบุบ/แบน → แรงดันและอัตราไหลไม่พอ</t>
  </si>
  <si>
    <t xml:space="preserve">จุดรัด: ตา · รายสัปดาห์ *</t>
  </si>
  <si>
    <t xml:space="preserve">Silencer / Exhaust port
(ทางลมระบาย)</t>
  </si>
  <si>
    <t xml:space="preserve">ทางลมระบายของวาล์ว · จุดดูว่าน้ำมันหล่อลื่นไปถึง</t>
  </si>
  <si>
    <t xml:space="preserve">Silencer · Oil mist collector</t>
  </si>
  <si>
    <t xml:space="preserve">มีน้ำมันที่ Silencer / Oil mist collector พอดี</t>
  </si>
  <si>
    <t xml:space="preserve">อุดตัน [INFER] · ละอองน้ำมันมากเกิน</t>
  </si>
  <si>
    <t xml:space="preserve">ละอองน้ำมันและ Drain ออกสู่บรรยากาศ ไม่ดีต่อสุขภาพ</t>
  </si>
  <si>
    <t xml:space="preserve">ดูน้ำมันที่ Silencer (แทนการนับหยด): ทุกวัน
Exhaust port: 3 เดือน</t>
  </si>
  <si>
    <t xml:space="preserve">5'-A-6, 5'-B-2, 5'-C-2 · EP25, EP26, EP29</t>
  </si>
  <si>
    <t xml:space="preserve">PDF p.40, p.42, p.45</t>
  </si>
  <si>
    <t xml:space="preserve">Compressor
(แหล่งลม)</t>
  </si>
  <si>
    <t xml:space="preserve">ผลิตลมอัดให้ทั้งโรงงาน</t>
  </si>
  <si>
    <t xml:space="preserve">Compressor · Suction filter</t>
  </si>
  <si>
    <t xml:space="preserve">[DATA REQUIRED] ตามมาตรฐานฝ่าย Utility</t>
  </si>
  <si>
    <t xml:space="preserve">น้ำมันหล่อลื่นของ Compressor ปนในลมเป็นละออง/ไอ (น้ำมันเสื่อม) · ฝุ่นเล็ดลอดช่อง Suction filter</t>
  </si>
  <si>
    <t xml:space="preserve">สิ่งปนเปื้อนเข้าระบบลมทั้งโรงงาน</t>
  </si>
  <si>
    <t xml:space="preserve">นอกขอบเขต AM ของเครื่อง → ดูแลโดยฝ่าย Utility [DATA REQUIRED]</t>
  </si>
  <si>
    <t xml:space="preserve">5'-A-2, 5'-B-2 · EP22, EP26</t>
  </si>
  <si>
    <t xml:space="preserve">PDF p.36, p.42</t>
  </si>
  <si>
    <r>
      <rPr>
        <b val="true"/>
        <sz val="15"/>
        <color rgb="FFFFFFFF"/>
        <rFont val="Tahoma"/>
        <family val="0"/>
        <charset val="1"/>
      </rPr>
      <t xml:space="preserve">Forced Deterioration — การเสื่อมแบบเร่ง (</t>
    </r>
    <r>
      <rPr>
        <b val="true"/>
        <sz val="15"/>
        <color rgb="FFFFFFFF"/>
        <rFont val="WenQuanYi Zen Hei"/>
        <family val="2"/>
      </rPr>
      <t xml:space="preserve">強制劣化 </t>
    </r>
    <r>
      <rPr>
        <b val="true"/>
        <sz val="15"/>
        <color rgb="FFFFFFFF"/>
        <rFont val="Tahoma"/>
        <family val="0"/>
        <charset val="1"/>
      </rPr>
      <t xml:space="preserve">= เสื่อมเพราะคนหรือสภาพแวดล้อม)</t>
    </r>
  </si>
  <si>
    <t xml:space="preserve">สมการ: การเสีย = ภาระ (Stress) &gt; ความแข็งแรง (Strength) · 6 สาเหตุ → 6 มาตรการ (JIPM AM)</t>
  </si>
  <si>
    <t xml:space="preserve">6 สาเหตุของการเสีย (6 Factors of failures)</t>
  </si>
  <si>
    <t xml:space="preserve">ตัวอย่างในระบบลม</t>
  </si>
  <si>
    <t xml:space="preserve">มาตรการ (Countermeasure)</t>
  </si>
  <si>
    <t xml:space="preserve">ข้อตรวจใน AM Check Sheet</t>
  </si>
  <si>
    <t xml:space="preserve">สภาพพื้นฐานไม่ครบ (Poor basic conditions: CLT)</t>
  </si>
  <si>
    <t xml:space="preserve">C: ไม่ระบาย Drain → น้ำเข้าระบบ · L: น้ำมันไม่หยด/หมด · T: Lock nut · หน้าแปลน · โบลต์ · ที่ยึดท่อหลวม</t>
  </si>
  <si>
    <t xml:space="preserve">PDF p.42–44, p.49</t>
  </si>
  <si>
    <t xml:space="preserve">ทำ CLT ตาม AM Check Sheet รายวัน/รายสัปดาห์</t>
  </si>
  <si>
    <t xml:space="preserve">Daily: Drain · หยดน้ำมัน · Lock nut · หน้าแปลน</t>
  </si>
  <si>
    <t xml:space="preserve">ไม่ใช้งานตามเงื่อนไข (Non-compliance with operating conditions)</t>
  </si>
  <si>
    <t xml:space="preserve">ค่าตั้งแรงดันเคลื่อน · หยดน้ำมันนอก 2–6 หยด/นาที · น้ำมันมากเกิน</t>
  </si>
  <si>
    <t xml:space="preserve">PDF p.39–40, p.45</t>
  </si>
  <si>
    <t xml:space="preserve">แถบเขียวที่เกจ · ป้ายค่าหยดน้ำมันที่ Lubricator *</t>
  </si>
  <si>
    <t xml:space="preserve">Daily: เกจแรงดัน · นับหยด</t>
  </si>
  <si>
    <t xml:space="preserve">ชิ้นส่วนเสื่อมไม่ได้แก้ (Deterioration not restored)</t>
  </si>
  <si>
    <t xml:space="preserve">Element ตัน · Diaphragm/สปริง/Packing/O-ring/Seal เสื่อม · Valve seat บาก</t>
  </si>
  <si>
    <t xml:space="preserve">PDF p.45–46</t>
  </si>
  <si>
    <t xml:space="preserve">ตรวจ 3 เดือน + ถอดตรวจ 1 ปี (PM *) · เปลี่ยนตามสภาพ</t>
  </si>
  <si>
    <t xml:space="preserve">Periodic: 3 เดือน / 1 ปี</t>
  </si>
  <si>
    <t xml:space="preserve">จุดอ่อนของการออกแบบ (Design weakness)</t>
  </si>
  <si>
    <t xml:space="preserve">ท่อยาวหรือเล็กเกิน → แรงดันตก · ตำแหน่งติดตั้ง Lubricator ไม่เหมาะ (น้ำมันไปไม่ถึง)</t>
  </si>
  <si>
    <t xml:space="preserve">แจ้ง PM / ทำ Kaizen sheet *</t>
  </si>
  <si>
    <t xml:space="preserve">Periodic: Exhaust port</t>
  </si>
  <si>
    <t xml:space="preserve">ใช้งาน/ซ่อมผิดวิธี (Mis-operation &amp; mis-repair)</t>
  </si>
  <si>
    <t xml:space="preserve">เปิดถ้วย/ฝาน้ำมันขณะมีแรงดัน · รัด Binder แน่นเกิน · Lock band ผิดขนาด · ใช้ของทดแทน · ใช้ Element อัลลอยซ้ำ · ปรับหยดเอง</t>
  </si>
  <si>
    <t xml:space="preserve">PDF p.38, p.40, p.47</t>
  </si>
  <si>
    <t xml:space="preserve">สอน OPL (EP23, EP25, EP30) + Skill_Check</t>
  </si>
  <si>
    <t xml:space="preserve">Weekly: การรัดสายลม</t>
  </si>
  <si>
    <t xml:space="preserve">สภาพแวดล้อมเร่งการเสื่อม (Environment)</t>
  </si>
  <si>
    <t xml:space="preserve">กลางคืนอุณหภูมิลด → เกิดน้ำในระบบ · ฝุ่น/สนิมจากงานเดินท่อหรือซ่อม · น้ำมันเสื่อมจาก Compressor</t>
  </si>
  <si>
    <t xml:space="preserve">PDF p.42, p.44</t>
  </si>
  <si>
    <t xml:space="preserve">ระบาย Drain ต้นกะ * · ทำความสะอาดหลังงานท่อ * · แจ้ง Utility</t>
  </si>
  <si>
    <t xml:space="preserve">Daily: Drain</t>
  </si>
  <si>
    <t xml:space="preserve">Operating Conditions — ค่ามาตรฐานและรอบการดูแล</t>
  </si>
  <si>
    <t xml:space="preserve">ช่องสีเหลือง = กรอกค่าของเครื่องนี้ (ดู Catalog ผู้ผลิต / ฝ่ายซ่อม)</t>
  </si>
  <si>
    <t xml:space="preserve">หัวข้อ</t>
  </si>
  <si>
    <t xml:space="preserve">ค่ามาตรฐาน / รอบ (ต้นฉบับ)</t>
  </si>
  <si>
    <t xml:space="preserve">ค่าของเครื่องนี้</t>
  </si>
  <si>
    <t xml:space="preserve">ผู้ยืนยัน</t>
  </si>
  <si>
    <t xml:space="preserve">ค่าตั้งแรงดัน Regulator</t>
  </si>
  <si>
    <t xml:space="preserve">[DATA REQUIRED] · ทำแถบเขียวที่ค่าตั้งบนเกจ</t>
  </si>
  <si>
    <t xml:space="preserve">PDF p.39</t>
  </si>
  <si>
    <t xml:space="preserve">ช่วงแรงดันใช้งานปกติ (เกจ)</t>
  </si>
  <si>
    <t xml:space="preserve">[DATA REQUIRED]</t>
  </si>
  <si>
    <t xml:space="preserve">PDF p.44</t>
  </si>
  <si>
    <t xml:space="preserve">หยดน้ำมัน Lubricator</t>
  </si>
  <si>
    <t xml:space="preserve">2–6 หยด/นาที (ตั้งตามอุปกรณ์และสภาพใช้งาน · ปรึกษาฝ่ายซ่อม)</t>
  </si>
  <si>
    <t xml:space="preserve">PDF p.40</t>
  </si>
  <si>
    <t xml:space="preserve">ชนิดน้ำมัน Lubricator</t>
  </si>
  <si>
    <t xml:space="preserve">[DATA REQUIRED] ตาม Catalog ผู้ผลิต</t>
  </si>
  <si>
    <t xml:space="preserve">เวลาต่อรอบกระบอกสูบ (ความเร็วปกติ)</t>
  </si>
  <si>
    <t xml:space="preserve">รอบระบาย Drain</t>
  </si>
  <si>
    <t xml:space="preserve">วันละ 1 ครั้ง</t>
  </si>
  <si>
    <t xml:space="preserve">รอบเติมน้ำมัน Lubricator</t>
  </si>
  <si>
    <t xml:space="preserve">สัปดาห์ละ 1 ครั้ง · อัตราเดินเครื่องสูง ทุก 3 วัน</t>
  </si>
  <si>
    <t xml:space="preserve">รอบตรวจการทำงาน + ลมรั่ว</t>
  </si>
  <si>
    <t xml:space="preserve">ทุก 3 เดือน · ไม่พบปัญหา → ค่อยๆ ยืดรอบ</t>
  </si>
  <si>
    <t xml:space="preserve">PDF p.45</t>
  </si>
  <si>
    <t xml:space="preserve">รอบถอดตรวจภายใน</t>
  </si>
  <si>
    <t xml:space="preserve">ทุก 1 ปี</t>
  </si>
  <si>
    <t xml:space="preserve">PDF p.46</t>
  </si>
  <si>
    <t xml:space="preserve">Filter element</t>
  </si>
  <si>
    <t xml:space="preserve">โลหะ: ล้างน้ำมันก๊าด + แปรงไนลอน · อัลลอย (สีเงิน): เปลี่ยนใหม่ ห้ามใช้ซ้ำ</t>
  </si>
  <si>
    <t xml:space="preserve">PDF p.38</t>
  </si>
  <si>
    <t xml:space="preserve">ถ้วยกรอง</t>
  </si>
  <si>
    <t xml:space="preserve">ล้างด้วยน้ำหรือน้ำมันก๊าด แล้วเช็ดด้วยผ้าและแปรงไนลอน (ถ้วย Polycarbonate: ตรวจคู่มือผู้ผลิตก่อน *)</t>
  </si>
  <si>
    <t xml:space="preserve">สภาวะมาตรฐานของอากาศ (อ้างอิง)</t>
  </si>
  <si>
    <t xml:space="preserve">20 °C · 760 mmHg (ความดันสัมบูรณ์) · RH 65 %</t>
  </si>
  <si>
    <t xml:space="preserve">PDF p.35</t>
  </si>
  <si>
    <t xml:space="preserve">Skill Check — แบบทดสอบความรู้ระบบลม (10 ข้อ)</t>
  </si>
  <si>
    <t xml:space="preserve">ทำหลังดูวิดีโอ EP22–EP31 · เฉลยอยู่ชีท Answer_Key · ผ่าน ≥ 8/10 * (ข้อเสนอ)</t>
  </si>
  <si>
    <t xml:space="preserve">ชื่อ</t>
  </si>
  <si>
    <t xml:space="preserve">ข้อ</t>
  </si>
  <si>
    <t xml:space="preserve">คำถาม</t>
  </si>
  <si>
    <t xml:space="preserve">คำตอบ</t>
  </si>
  <si>
    <t xml:space="preserve">ถูก (1/0)</t>
  </si>
  <si>
    <t xml:space="preserve">ชุด 3 ตัว (FRL) เรียงจากทางลมเข้าอย่างไร  (EP31)</t>
  </si>
  <si>
    <t xml:space="preserve">ต้องตรวจ Drain บ่อยแค่ไหน และทำไม  (EP28)</t>
  </si>
  <si>
    <t xml:space="preserve">เข็มเกจ Regulator แกว่งมากขณะเดินเครื่อง หมายถึงอะไร ต้องทำอะไร  (EP31)</t>
  </si>
  <si>
    <t xml:space="preserve">Lock nut ของ Regulator หลวม จะเกิดอะไร  (EP24, EP31)</t>
  </si>
  <si>
    <t xml:space="preserve">มาตรฐานหยดน้ำมันของ Lubricator คือเท่าไร  (EP25)</t>
  </si>
  <si>
    <t xml:space="preserve">น้ำมันในถ้วย Lubricator ขุ่นขาว หมายถึงอะไร ต้องทำอะไร  (EP31)</t>
  </si>
  <si>
    <t xml:space="preserve">น้ำมันใน Lubricator ลดเร็วผิดปกติ หมายถึงอะไร  (EP28)</t>
  </si>
  <si>
    <t xml:space="preserve">ก่อนถอดถ้วยกรอง หรือเปิดฝาเติมน้ำมัน ต้องทำอะไร เพราะอะไร  (EP23, EP25)</t>
  </si>
  <si>
    <t xml:space="preserve">รัดสายลมด้วย Binder แน่นเกินไป เกิดอะไร  (EP30)</t>
  </si>
  <si>
    <t xml:space="preserve">หล่อลื่นไม่พอ ทำให้เกิดปัญหาอะไร (ตอบ 2 ข้อ)  (EP27)</t>
  </si>
  <si>
    <t xml:space="preserve">คะแนนรวม</t>
  </si>
  <si>
    <t xml:space="preserve">ผลรายคน (Skill matrix · Module 4-4 Pneumatics)</t>
  </si>
  <si>
    <t xml:space="preserve">No.</t>
  </si>
  <si>
    <t xml:space="preserve">คะแนน (0–10)</t>
  </si>
  <si>
    <t xml:space="preserve">ผล</t>
  </si>
  <si>
    <t xml:space="preserve">ระดับทักษะ (1–4)</t>
  </si>
  <si>
    <t xml:space="preserve">ผู้ประเมิน</t>
  </si>
  <si>
    <t xml:space="preserve">Answer Key — เฉลย Skill Check</t>
  </si>
  <si>
    <t xml:space="preserve">สำหรับผู้สอน · ไม่ต้องพิมพ์แจกผู้เรียน</t>
  </si>
  <si>
    <t xml:space="preserve">เฉลย</t>
  </si>
  <si>
    <t xml:space="preserve">อ้างอิง</t>
  </si>
  <si>
    <t xml:space="preserve">ชุด 3 ตัว (FRL) เรียงจากทางลมเข้าอย่างไร</t>
  </si>
  <si>
    <t xml:space="preserve">Air filter → Regulator → Lubricator</t>
  </si>
  <si>
    <t xml:space="preserve">EP31 · PDF p.48–49</t>
  </si>
  <si>
    <t xml:space="preserve">ต้องตรวจ Drain บ่อยแค่ไหน และทำไม</t>
  </si>
  <si>
    <t xml:space="preserve">วันละ 1 ครั้ง · กลางคืนอุณหภูมิลดจึงเกิดน้ำ</t>
  </si>
  <si>
    <t xml:space="preserve">EP28 · PDF p.44</t>
  </si>
  <si>
    <t xml:space="preserve">เข็มเกจ Regulator แกว่งมากขณะเดินเครื่อง หมายถึงอะไร ต้องทำอะไร</t>
  </si>
  <si>
    <t xml:space="preserve">ไส้กรอง Air filter ตัน → เปลี่ยน Filter element</t>
  </si>
  <si>
    <t xml:space="preserve">EP31 · PDF p.49</t>
  </si>
  <si>
    <t xml:space="preserve">Lock nut ของ Regulator หลวม จะเกิดอะไร</t>
  </si>
  <si>
    <t xml:space="preserve">Handle หมุนเองจากแรงสั่น → ค่าตั้งแรงดันเคลื่อน → ขันให้แน่น</t>
  </si>
  <si>
    <t xml:space="preserve">EP24, EP31 · PDF p.39, p.49</t>
  </si>
  <si>
    <t xml:space="preserve">มาตรฐานหยดน้ำมันของ Lubricator คือเท่าไร</t>
  </si>
  <si>
    <t xml:space="preserve">2–6 หยด/นาที · ปรึกษาฝ่ายซ่อมก่อนปรับ</t>
  </si>
  <si>
    <t xml:space="preserve">EP25 · PDF p.40</t>
  </si>
  <si>
    <t xml:space="preserve">น้ำมันในถ้วย Lubricator ขุ่นขาว หมายถึงอะไร ต้องทำอะไร</t>
  </si>
  <si>
    <t xml:space="preserve">มีน้ำปน → เปลี่ยนน้ำมันใหม่</t>
  </si>
  <si>
    <t xml:space="preserve">น้ำมันใน Lubricator ลดเร็วผิดปกติ หมายถึงอะไร</t>
  </si>
  <si>
    <t xml:space="preserve">มีจุดรั่ว → หาจุดรั่วทันที</t>
  </si>
  <si>
    <t xml:space="preserve">ก่อนถอดถ้วยกรอง หรือเปิดฝาเติมน้ำมัน ต้องทำอะไร เพราะอะไร</t>
  </si>
  <si>
    <t xml:space="preserve">ปล่อยแรงดันค้างให้หมด · ถ้วยอาจหลุดกระเด็น / น้ำมันพุ่งออก</t>
  </si>
  <si>
    <t xml:space="preserve">EP23, EP25 · PDF p.38, p.40</t>
  </si>
  <si>
    <t xml:space="preserve">รัดสายลมด้วย Binder แน่นเกินไป เกิดอะไร</t>
  </si>
  <si>
    <t xml:space="preserve">EP30 · PDF p.47</t>
  </si>
  <si>
    <t xml:space="preserve">หล่อลื่นไม่พอ ทำให้เกิดปัญหาอะไร (ตอบ 2 ข้อ)</t>
  </si>
  <si>
    <t xml:space="preserve">เสียดทานเพิ่ม (ไม่นิ่ง แรงไม่พอ วาล์วสลับไม่ดี) · ซีลสึก ลมรั่ว · สนิมติดในวาล์ว/ลูกสูบ</t>
  </si>
  <si>
    <t xml:space="preserve">EP27 · PDF p.43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</si>
  <si>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</si>
  <si>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Safety ยืนยัน แล้วแก้ในชีทที่เกี่ยวข้อง</t>
  </si>
  <si>
    <t xml:space="preserve">ประเด็น</t>
  </si>
  <si>
    <t xml:space="preserve">รายละเอียด</t>
  </si>
  <si>
    <t xml:space="preserve">ที่มา / สถานะ</t>
  </si>
  <si>
    <t xml:space="preserve">ผล / ค่าที่ใช้</t>
  </si>
  <si>
    <t xml:space="preserve">ตำแหน่ง · Tag No. · จำนวนของแต่ละชิ้นส่วนบนเครื่องนี้</t>
  </si>
  <si>
    <t xml:space="preserve">ชีท System_Map</t>
  </si>
  <si>
    <t xml:space="preserve">ค่าตั้งแรงดัน · ช่วงใช้งานปกติ · เวลาต่อรอบกระบอกสูบ · ชนิดน้ำมัน</t>
  </si>
  <si>
    <t xml:space="preserve">ชีท Operating_Conditions</t>
  </si>
  <si>
    <t xml:space="preserve">[DATA REQUIRED] · PDF p.39–40, p.44</t>
  </si>
  <si>
    <t xml:space="preserve">ผลกระทบที่ติด [INFER] (Regulator · เกจ · Speed controller · Silencer)</t>
  </si>
  <si>
    <t xml:space="preserve">ต้นฉบับไม่ระบุ ใช้หลักวิศวกรรมทั่วไป</t>
  </si>
  <si>
    <t xml:space="preserve">เกณฑ์ทั่วไป · ให้ฝ่ายซ่อมยืนยัน</t>
  </si>
  <si>
    <t xml:space="preserve">ผลกระทบของ Relief valve ในวงจรนี้</t>
  </si>
  <si>
    <t xml:space="preserve">ขึ้นกับตำแหน่งติดตั้ง</t>
  </si>
  <si>
    <t xml:space="preserve">ผู้ทำงานถอดตรวจ 1 ปี (PM) และรอบรัดสายลมรายสัปดาห์</t>
  </si>
  <si>
    <t xml:space="preserve">ต้นฉบับไม่ระบุผู้ทำ/ความถี่</t>
  </si>
  <si>
    <t xml:space="preserve">ข้อเสนอ</t>
  </si>
  <si>
    <t xml:space="preserve">ตัดไฟ + ปล่อยลมค้างก่อนถอด Solenoid valve · LOTO</t>
  </si>
  <si>
    <t xml:space="preserve">ต้นฉบับเตือนเฉพาะถ้วยกรองและฝาน้ำมัน</t>
  </si>
  <si>
    <t xml:space="preserve">ข้อเสนอ · ให้ Safety ยืนยัน</t>
  </si>
  <si>
    <t xml:space="preserve">ระดับผ่าน Skill_Check ≥ 8/10</t>
  </si>
  <si>
    <t xml:space="preserve">ต้นฉบับไม่มีแบบทดสอบ</t>
  </si>
  <si>
    <t xml:space="preserve">ขอบเขต Compressor (AM ของเครื่อง vs ฝ่าย Utility)</t>
  </si>
  <si>
    <t xml:space="preserve">ต้นฉบับอธิบายแต่ไม่แบ่งหน้าที่</t>
  </si>
  <si>
    <r>
      <rPr>
        <sz val="9"/>
        <color rgb="FF1A1D21"/>
        <rFont val="Tahoma"/>
        <family val="0"/>
        <charset val="1"/>
      </rPr>
      <t xml:space="preserve">คำแปลที่แก้: Bubble plate = Baffle plate · steam iron = กระบอกฉีดฝอย (</t>
    </r>
    <r>
      <rPr>
        <sz val="9"/>
        <color rgb="FF1A1D21"/>
        <rFont val="WenQuanYi Zen Hei"/>
        <family val="2"/>
      </rPr>
      <t xml:space="preserve">霧吹き</t>
    </r>
    <r>
      <rPr>
        <sz val="9"/>
        <color rgb="FF1A1D21"/>
        <rFont val="Tahoma"/>
        <family val="0"/>
        <charset val="1"/>
      </rPr>
      <t xml:space="preserve">) · confusion = เพี้ยน (</t>
    </r>
    <r>
      <rPr>
        <sz val="9"/>
        <color rgb="FF1A1D21"/>
        <rFont val="WenQuanYi Zen Hei"/>
        <family val="2"/>
      </rPr>
      <t xml:space="preserve">狂い</t>
    </r>
    <r>
      <rPr>
        <sz val="9"/>
        <color rgb="FF1A1D21"/>
        <rFont val="Tahoma"/>
        <family val="0"/>
        <charset val="1"/>
      </rPr>
      <t xml:space="preserve">) · sagging = หลวม (</t>
    </r>
    <r>
      <rPr>
        <sz val="9"/>
        <color rgb="FF1A1D21"/>
        <rFont val="WenQuanYi Zen Hei"/>
        <family val="2"/>
      </rPr>
      <t xml:space="preserve">緩み</t>
    </r>
    <r>
      <rPr>
        <sz val="9"/>
        <color rgb="FF1A1D21"/>
        <rFont val="Tahoma"/>
        <family val="0"/>
        <charset val="1"/>
      </rPr>
      <t xml:space="preserve">)</t>
    </r>
  </si>
  <si>
    <t xml:space="preserve">ใช้ในชีท Component_Analysis</t>
  </si>
  <si>
    <t xml:space="preserve">แก้คำแปล PDF p.38, p.40, p.46, p.49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</si>
</sst>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sz val="9"/>
      <color rgb="FF1A1D21"/>
      <name val="Tahoma"/>
      <family val="0"/>
      <charset val="1"/>
    </font>
    <font>
      <b val="true"/>
      <sz val="9"/>
      <color rgb="FFC32A3E"/>
      <name val="Tahoma"/>
      <family val="0"/>
      <charset val="1"/>
    </font>
    <font>
      <sz val="9"/>
      <color rgb="FFB07A00"/>
      <name val="Tahoma"/>
      <family val="0"/>
      <charset val="1"/>
    </font>
    <font>
      <sz val="9"/>
      <color rgb="FF1A1D21"/>
      <name val="WenQuanYi Zen Hei"/>
      <family val="2"/>
    </font>
    <font>
      <b val="true"/>
      <sz val="9"/>
      <color rgb="FFB07A00"/>
      <name val="Tahoma"/>
      <family val="0"/>
      <charset val="1"/>
    </font>
    <font>
      <b val="true"/>
      <sz val="11"/>
      <color rgb="FF1F5FBF"/>
      <name val="Tahom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FFFF00"/>
        <bgColor rgb="FFFFFF00"/>
      </patternFill>
    </fill>
    <fill>
      <patternFill patternType="solid">
        <fgColor rgb="FFE3ECF9"/>
        <bgColor rgb="FFF2F2F2"/>
      </patternFill>
    </fill>
    <fill>
      <patternFill patternType="solid">
        <fgColor rgb="FFF2F2F2"/>
        <bgColor rgb="FFE3EC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0C0C0"/>
      <rgbColor rgb="FF808080"/>
      <rgbColor rgb="FF9999FF"/>
      <rgbColor rgb="FFC32A3E"/>
      <rgbColor rgb="FFF2F2F2"/>
      <rgbColor rgb="FFE3ECF9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9933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</row>
    <row r="4" customFormat="false" ht="19.5" hidden="false" customHeight="true" outlineLevel="0" collapsed="false">
      <c r="A4" s="3" t="s">
        <v>4</v>
      </c>
      <c r="B4" s="4"/>
      <c r="C4" s="4"/>
      <c r="D4" s="3" t="s">
        <v>5</v>
      </c>
      <c r="E4" s="4"/>
      <c r="F4" s="4"/>
    </row>
    <row r="6" customFormat="false" ht="36" hidden="false" customHeight="true" outlineLevel="0" collapsed="false">
      <c r="A6" s="5" t="s">
        <v>6</v>
      </c>
      <c r="B6" s="5" t="s">
        <v>7</v>
      </c>
      <c r="C6" s="5"/>
      <c r="D6" s="5"/>
      <c r="E6" s="5"/>
      <c r="F6" s="5"/>
    </row>
    <row r="7" customFormat="false" ht="36" hidden="false" customHeight="true" outlineLevel="0" collapsed="false">
      <c r="A7" s="6" t="s">
        <v>8</v>
      </c>
      <c r="B7" s="7" t="s">
        <v>9</v>
      </c>
      <c r="C7" s="7"/>
      <c r="D7" s="7"/>
      <c r="E7" s="7"/>
      <c r="F7" s="7"/>
    </row>
    <row r="8" customFormat="false" ht="36" hidden="false" customHeight="true" outlineLevel="0" collapsed="false">
      <c r="A8" s="6" t="s">
        <v>10</v>
      </c>
      <c r="B8" s="7" t="s">
        <v>11</v>
      </c>
      <c r="C8" s="7"/>
      <c r="D8" s="7"/>
      <c r="E8" s="7"/>
      <c r="F8" s="7"/>
    </row>
    <row r="9" customFormat="false" ht="36" hidden="false" customHeight="true" outlineLevel="0" collapsed="false">
      <c r="A9" s="6" t="s">
        <v>12</v>
      </c>
      <c r="B9" s="7" t="s">
        <v>13</v>
      </c>
      <c r="C9" s="7"/>
      <c r="D9" s="7"/>
      <c r="E9" s="7"/>
      <c r="F9" s="7"/>
    </row>
    <row r="10" customFormat="false" ht="36" hidden="false" customHeight="true" outlineLevel="0" collapsed="false">
      <c r="A10" s="6" t="s">
        <v>14</v>
      </c>
      <c r="B10" s="7" t="s">
        <v>15</v>
      </c>
      <c r="C10" s="7"/>
      <c r="D10" s="7"/>
      <c r="E10" s="7"/>
      <c r="F10" s="7"/>
    </row>
    <row r="11" customFormat="false" ht="36" hidden="false" customHeight="true" outlineLevel="0" collapsed="false">
      <c r="A11" s="6" t="s">
        <v>16</v>
      </c>
      <c r="B11" s="7" t="s">
        <v>17</v>
      </c>
      <c r="C11" s="7"/>
      <c r="D11" s="7"/>
      <c r="E11" s="7"/>
      <c r="F11" s="7"/>
    </row>
    <row r="12" customFormat="false" ht="36" hidden="false" customHeight="true" outlineLevel="0" collapsed="false">
      <c r="A12" s="6" t="s">
        <v>18</v>
      </c>
      <c r="B12" s="7" t="s">
        <v>19</v>
      </c>
      <c r="C12" s="7"/>
      <c r="D12" s="7"/>
      <c r="E12" s="7"/>
      <c r="F12" s="7"/>
    </row>
    <row r="13" customFormat="false" ht="9.75" hidden="false" customHeight="true" outlineLevel="0" collapsed="false">
      <c r="A13" s="8"/>
      <c r="B13" s="9"/>
      <c r="C13" s="9"/>
      <c r="D13" s="9"/>
      <c r="E13" s="9"/>
      <c r="F13" s="9"/>
    </row>
    <row r="14" customFormat="false" ht="36" hidden="false" customHeight="true" outlineLevel="0" collapsed="false">
      <c r="A14" s="6" t="s">
        <v>20</v>
      </c>
      <c r="B14" s="7" t="s">
        <v>21</v>
      </c>
      <c r="C14" s="7"/>
      <c r="D14" s="7"/>
      <c r="E14" s="7"/>
      <c r="F14" s="7"/>
    </row>
    <row r="15" customFormat="false" ht="36" hidden="false" customHeight="true" outlineLevel="0" collapsed="false">
      <c r="A15" s="6" t="s">
        <v>22</v>
      </c>
      <c r="B15" s="7" t="s">
        <v>23</v>
      </c>
      <c r="C15" s="7"/>
      <c r="D15" s="7"/>
      <c r="E15" s="7"/>
      <c r="F15" s="7"/>
    </row>
    <row r="16" customFormat="false" ht="36" hidden="false" customHeight="true" outlineLevel="0" collapsed="false">
      <c r="A16" s="6" t="s">
        <v>24</v>
      </c>
      <c r="B16" s="7" t="s">
        <v>25</v>
      </c>
      <c r="C16" s="7"/>
      <c r="D16" s="7"/>
      <c r="E16" s="7"/>
      <c r="F16" s="7"/>
    </row>
    <row r="17" customFormat="false" ht="36" hidden="false" customHeight="true" outlineLevel="0" collapsed="false">
      <c r="A17" s="6" t="s">
        <v>26</v>
      </c>
      <c r="B17" s="7" t="s">
        <v>27</v>
      </c>
      <c r="C17" s="7"/>
      <c r="D17" s="7"/>
      <c r="E17" s="7"/>
      <c r="F17" s="7"/>
    </row>
  </sheetData>
  <mergeCells count="18">
    <mergeCell ref="A1:F1"/>
    <mergeCell ref="A2:F2"/>
    <mergeCell ref="B3:C3"/>
    <mergeCell ref="E3:F3"/>
    <mergeCell ref="B4:C4"/>
    <mergeCell ref="E4:F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10" t="s">
        <v>30</v>
      </c>
      <c r="B3" s="10"/>
      <c r="C3" s="10"/>
      <c r="D3" s="10"/>
      <c r="E3" s="10"/>
      <c r="F3" s="10"/>
      <c r="G3" s="10"/>
      <c r="H3" s="10"/>
    </row>
    <row r="5" customFormat="false" ht="33.75" hidden="false" customHeight="true" outlineLevel="0" collapsed="false">
      <c r="A5" s="11" t="s">
        <v>31</v>
      </c>
      <c r="B5" s="11" t="s">
        <v>32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1" t="s">
        <v>38</v>
      </c>
    </row>
    <row r="6" customFormat="false" ht="33.75" hidden="false" customHeight="true" outlineLevel="0" collapsed="false">
      <c r="A6" s="12" t="s">
        <v>39</v>
      </c>
      <c r="B6" s="13" t="s">
        <v>40</v>
      </c>
      <c r="C6" s="14" t="s">
        <v>41</v>
      </c>
      <c r="D6" s="13" t="s">
        <v>42</v>
      </c>
      <c r="E6" s="15"/>
      <c r="F6" s="15"/>
      <c r="G6" s="13" t="s">
        <v>43</v>
      </c>
      <c r="H6" s="13" t="s">
        <v>44</v>
      </c>
    </row>
    <row r="7" customFormat="false" ht="33.75" hidden="false" customHeight="true" outlineLevel="0" collapsed="false">
      <c r="A7" s="12" t="s">
        <v>45</v>
      </c>
      <c r="B7" s="13" t="s">
        <v>46</v>
      </c>
      <c r="C7" s="14" t="s">
        <v>47</v>
      </c>
      <c r="D7" s="13" t="s">
        <v>48</v>
      </c>
      <c r="E7" s="15"/>
      <c r="F7" s="15"/>
      <c r="G7" s="13" t="s">
        <v>49</v>
      </c>
      <c r="H7" s="13" t="s">
        <v>50</v>
      </c>
    </row>
    <row r="8" customFormat="false" ht="33.75" hidden="false" customHeight="true" outlineLevel="0" collapsed="false">
      <c r="A8" s="12" t="s">
        <v>51</v>
      </c>
      <c r="B8" s="13" t="s">
        <v>52</v>
      </c>
      <c r="C8" s="14" t="s">
        <v>53</v>
      </c>
      <c r="D8" s="13" t="s">
        <v>54</v>
      </c>
      <c r="E8" s="15"/>
      <c r="F8" s="15"/>
      <c r="G8" s="13" t="s">
        <v>55</v>
      </c>
      <c r="H8" s="13" t="s">
        <v>56</v>
      </c>
    </row>
    <row r="9" customFormat="false" ht="33.75" hidden="false" customHeight="true" outlineLevel="0" collapsed="false">
      <c r="A9" s="12" t="s">
        <v>57</v>
      </c>
      <c r="B9" s="13" t="s">
        <v>58</v>
      </c>
      <c r="C9" s="14" t="s">
        <v>59</v>
      </c>
      <c r="D9" s="13" t="s">
        <v>60</v>
      </c>
      <c r="E9" s="15"/>
      <c r="F9" s="15"/>
      <c r="G9" s="13" t="s">
        <v>61</v>
      </c>
      <c r="H9" s="13" t="s">
        <v>62</v>
      </c>
    </row>
    <row r="10" customFormat="false" ht="33.75" hidden="false" customHeight="true" outlineLevel="0" collapsed="false">
      <c r="A10" s="12" t="s">
        <v>51</v>
      </c>
      <c r="B10" s="13" t="s">
        <v>52</v>
      </c>
      <c r="C10" s="14" t="s">
        <v>63</v>
      </c>
      <c r="D10" s="13" t="s">
        <v>64</v>
      </c>
      <c r="E10" s="15"/>
      <c r="F10" s="15"/>
      <c r="G10" s="13" t="s">
        <v>61</v>
      </c>
      <c r="H10" s="13" t="s">
        <v>65</v>
      </c>
    </row>
    <row r="11" customFormat="false" ht="33.75" hidden="false" customHeight="true" outlineLevel="0" collapsed="false">
      <c r="A11" s="12" t="s">
        <v>51</v>
      </c>
      <c r="B11" s="13" t="s">
        <v>52</v>
      </c>
      <c r="C11" s="14" t="s">
        <v>66</v>
      </c>
      <c r="D11" s="13" t="s">
        <v>67</v>
      </c>
      <c r="E11" s="15"/>
      <c r="F11" s="15"/>
      <c r="G11" s="13" t="s">
        <v>68</v>
      </c>
      <c r="H11" s="13" t="s">
        <v>69</v>
      </c>
    </row>
    <row r="12" customFormat="false" ht="33.75" hidden="false" customHeight="true" outlineLevel="0" collapsed="false">
      <c r="A12" s="12" t="s">
        <v>57</v>
      </c>
      <c r="B12" s="13" t="s">
        <v>70</v>
      </c>
      <c r="C12" s="14" t="s">
        <v>71</v>
      </c>
      <c r="D12" s="13" t="s">
        <v>72</v>
      </c>
      <c r="E12" s="15"/>
      <c r="F12" s="15"/>
      <c r="G12" s="13" t="s">
        <v>73</v>
      </c>
      <c r="H12" s="13" t="s">
        <v>74</v>
      </c>
    </row>
    <row r="13" customFormat="false" ht="33.75" hidden="false" customHeight="true" outlineLevel="0" collapsed="false">
      <c r="A13" s="12" t="s">
        <v>57</v>
      </c>
      <c r="B13" s="13" t="s">
        <v>75</v>
      </c>
      <c r="C13" s="14" t="s">
        <v>76</v>
      </c>
      <c r="D13" s="13" t="s">
        <v>77</v>
      </c>
      <c r="E13" s="15"/>
      <c r="F13" s="15"/>
      <c r="G13" s="13" t="s">
        <v>73</v>
      </c>
      <c r="H13" s="13" t="s">
        <v>74</v>
      </c>
    </row>
    <row r="14" customFormat="false" ht="33.75" hidden="false" customHeight="true" outlineLevel="0" collapsed="false">
      <c r="A14" s="12" t="s">
        <v>57</v>
      </c>
      <c r="B14" s="13" t="s">
        <v>58</v>
      </c>
      <c r="C14" s="14" t="s">
        <v>78</v>
      </c>
      <c r="D14" s="13" t="s">
        <v>79</v>
      </c>
      <c r="E14" s="15"/>
      <c r="F14" s="15"/>
      <c r="G14" s="13" t="s">
        <v>80</v>
      </c>
      <c r="H14" s="13" t="s">
        <v>81</v>
      </c>
    </row>
    <row r="15" customFormat="false" ht="33.75" hidden="false" customHeight="true" outlineLevel="0" collapsed="false">
      <c r="A15" s="12" t="s">
        <v>82</v>
      </c>
      <c r="B15" s="13" t="s">
        <v>83</v>
      </c>
      <c r="C15" s="14" t="s">
        <v>84</v>
      </c>
      <c r="D15" s="13" t="s">
        <v>85</v>
      </c>
      <c r="E15" s="15"/>
      <c r="F15" s="15"/>
      <c r="G15" s="13" t="s">
        <v>73</v>
      </c>
      <c r="H15" s="13" t="s">
        <v>74</v>
      </c>
    </row>
    <row r="16" customFormat="false" ht="33.75" hidden="false" customHeight="true" outlineLevel="0" collapsed="false">
      <c r="A16" s="12" t="s">
        <v>51</v>
      </c>
      <c r="B16" s="13" t="s">
        <v>52</v>
      </c>
      <c r="C16" s="14" t="s">
        <v>86</v>
      </c>
      <c r="D16" s="13" t="s">
        <v>87</v>
      </c>
      <c r="E16" s="15"/>
      <c r="F16" s="15"/>
      <c r="G16" s="13" t="s">
        <v>88</v>
      </c>
      <c r="H16" s="13" t="s">
        <v>89</v>
      </c>
    </row>
    <row r="17" customFormat="false" ht="33.75" hidden="false" customHeight="true" outlineLevel="0" collapsed="false">
      <c r="A17" s="12" t="s">
        <v>45</v>
      </c>
      <c r="B17" s="13" t="s">
        <v>90</v>
      </c>
      <c r="C17" s="14" t="s">
        <v>91</v>
      </c>
      <c r="D17" s="13" t="s">
        <v>92</v>
      </c>
      <c r="E17" s="15"/>
      <c r="F17" s="15"/>
      <c r="G17" s="13" t="s">
        <v>93</v>
      </c>
      <c r="H17" s="13" t="s">
        <v>94</v>
      </c>
    </row>
  </sheetData>
  <mergeCells count="3">
    <mergeCell ref="A1:H1"/>
    <mergeCell ref="A2:H2"/>
    <mergeCell ref="A3:H3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17"/>
    <col collapsed="false" customWidth="true" hidden="false" outlineLevel="0" max="12" min="12" style="0" width="15"/>
  </cols>
  <sheetData>
    <row r="1" customFormat="false" ht="30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1.9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.75" hidden="false" customHeight="true" outlineLevel="0" collapsed="false">
      <c r="A4" s="11" t="s">
        <v>33</v>
      </c>
      <c r="B4" s="11" t="s">
        <v>97</v>
      </c>
      <c r="C4" s="11" t="s">
        <v>98</v>
      </c>
      <c r="D4" s="11" t="s">
        <v>99</v>
      </c>
      <c r="E4" s="11" t="s">
        <v>100</v>
      </c>
      <c r="F4" s="11" t="s">
        <v>101</v>
      </c>
      <c r="G4" s="11" t="s">
        <v>102</v>
      </c>
      <c r="H4" s="11" t="s">
        <v>103</v>
      </c>
      <c r="I4" s="11" t="s">
        <v>104</v>
      </c>
      <c r="J4" s="11" t="s">
        <v>105</v>
      </c>
      <c r="K4" s="11" t="s">
        <v>37</v>
      </c>
      <c r="L4" s="11" t="s">
        <v>38</v>
      </c>
    </row>
    <row r="5" customFormat="false" ht="90" hidden="false" customHeight="true" outlineLevel="0" collapsed="false">
      <c r="A5" s="16" t="s">
        <v>106</v>
      </c>
      <c r="B5" s="17" t="s">
        <v>107</v>
      </c>
      <c r="C5" s="17" t="s">
        <v>108</v>
      </c>
      <c r="D5" s="17" t="s">
        <v>109</v>
      </c>
      <c r="E5" s="17" t="s">
        <v>110</v>
      </c>
      <c r="F5" s="17" t="s">
        <v>111</v>
      </c>
      <c r="G5" s="17" t="s">
        <v>112</v>
      </c>
      <c r="H5" s="17" t="s">
        <v>113</v>
      </c>
      <c r="I5" s="17" t="s">
        <v>114</v>
      </c>
      <c r="J5" s="18" t="s">
        <v>115</v>
      </c>
      <c r="K5" s="17" t="s">
        <v>116</v>
      </c>
      <c r="L5" s="17" t="s">
        <v>117</v>
      </c>
    </row>
    <row r="6" customFormat="false" ht="90" hidden="false" customHeight="true" outlineLevel="0" collapsed="false">
      <c r="A6" s="16" t="s">
        <v>118</v>
      </c>
      <c r="B6" s="17" t="s">
        <v>119</v>
      </c>
      <c r="C6" s="17" t="s">
        <v>120</v>
      </c>
      <c r="D6" s="17" t="s">
        <v>121</v>
      </c>
      <c r="E6" s="17" t="s">
        <v>122</v>
      </c>
      <c r="F6" s="17" t="s">
        <v>123</v>
      </c>
      <c r="G6" s="19" t="s">
        <v>124</v>
      </c>
      <c r="H6" s="17" t="s">
        <v>125</v>
      </c>
      <c r="I6" s="17" t="s">
        <v>126</v>
      </c>
      <c r="J6" s="17" t="s">
        <v>45</v>
      </c>
      <c r="K6" s="17" t="s">
        <v>127</v>
      </c>
      <c r="L6" s="17" t="s">
        <v>128</v>
      </c>
    </row>
    <row r="7" customFormat="false" ht="90" hidden="false" customHeight="true" outlineLevel="0" collapsed="false">
      <c r="A7" s="16" t="s">
        <v>129</v>
      </c>
      <c r="B7" s="17" t="s">
        <v>64</v>
      </c>
      <c r="C7" s="17" t="s">
        <v>130</v>
      </c>
      <c r="D7" s="17" t="s">
        <v>45</v>
      </c>
      <c r="E7" s="17" t="s">
        <v>131</v>
      </c>
      <c r="F7" s="17" t="s">
        <v>132</v>
      </c>
      <c r="G7" s="19" t="s">
        <v>133</v>
      </c>
      <c r="H7" s="17" t="s">
        <v>134</v>
      </c>
      <c r="I7" s="17" t="s">
        <v>135</v>
      </c>
      <c r="J7" s="17" t="s">
        <v>45</v>
      </c>
      <c r="K7" s="17" t="s">
        <v>136</v>
      </c>
      <c r="L7" s="17" t="s">
        <v>137</v>
      </c>
    </row>
    <row r="8" customFormat="false" ht="90" hidden="false" customHeight="true" outlineLevel="0" collapsed="false">
      <c r="A8" s="16" t="s">
        <v>138</v>
      </c>
      <c r="B8" s="17" t="s">
        <v>139</v>
      </c>
      <c r="C8" s="17" t="s">
        <v>140</v>
      </c>
      <c r="D8" s="17" t="s">
        <v>141</v>
      </c>
      <c r="E8" s="17" t="s">
        <v>142</v>
      </c>
      <c r="F8" s="17" t="s">
        <v>143</v>
      </c>
      <c r="G8" s="17" t="s">
        <v>144</v>
      </c>
      <c r="H8" s="17" t="s">
        <v>145</v>
      </c>
      <c r="I8" s="17" t="s">
        <v>146</v>
      </c>
      <c r="J8" s="18" t="s">
        <v>147</v>
      </c>
      <c r="K8" s="17" t="s">
        <v>148</v>
      </c>
      <c r="L8" s="17" t="s">
        <v>149</v>
      </c>
    </row>
    <row r="9" customFormat="false" ht="90" hidden="false" customHeight="true" outlineLevel="0" collapsed="false">
      <c r="A9" s="16" t="s">
        <v>150</v>
      </c>
      <c r="B9" s="17" t="s">
        <v>72</v>
      </c>
      <c r="C9" s="17" t="s">
        <v>151</v>
      </c>
      <c r="D9" s="17" t="s">
        <v>45</v>
      </c>
      <c r="E9" s="17" t="s">
        <v>152</v>
      </c>
      <c r="F9" s="17" t="s">
        <v>153</v>
      </c>
      <c r="G9" s="17" t="s">
        <v>154</v>
      </c>
      <c r="H9" s="17" t="s">
        <v>155</v>
      </c>
      <c r="I9" s="17" t="s">
        <v>156</v>
      </c>
      <c r="J9" s="20" t="s">
        <v>157</v>
      </c>
      <c r="K9" s="17" t="s">
        <v>158</v>
      </c>
      <c r="L9" s="17" t="s">
        <v>159</v>
      </c>
    </row>
    <row r="10" customFormat="false" ht="90" hidden="false" customHeight="true" outlineLevel="0" collapsed="false">
      <c r="A10" s="16" t="s">
        <v>160</v>
      </c>
      <c r="B10" s="17" t="s">
        <v>77</v>
      </c>
      <c r="C10" s="17" t="s">
        <v>161</v>
      </c>
      <c r="D10" s="17" t="s">
        <v>45</v>
      </c>
      <c r="E10" s="17" t="s">
        <v>162</v>
      </c>
      <c r="F10" s="17" t="s">
        <v>163</v>
      </c>
      <c r="G10" s="19" t="s">
        <v>164</v>
      </c>
      <c r="H10" s="17" t="s">
        <v>165</v>
      </c>
      <c r="I10" s="17" t="s">
        <v>166</v>
      </c>
      <c r="J10" s="17" t="s">
        <v>45</v>
      </c>
      <c r="K10" s="17" t="s">
        <v>167</v>
      </c>
      <c r="L10" s="17" t="s">
        <v>168</v>
      </c>
    </row>
    <row r="11" customFormat="false" ht="90" hidden="false" customHeight="true" outlineLevel="0" collapsed="false">
      <c r="A11" s="16" t="s">
        <v>169</v>
      </c>
      <c r="B11" s="17" t="s">
        <v>170</v>
      </c>
      <c r="C11" s="17" t="s">
        <v>171</v>
      </c>
      <c r="D11" s="17" t="s">
        <v>45</v>
      </c>
      <c r="E11" s="17" t="s">
        <v>172</v>
      </c>
      <c r="F11" s="17" t="s">
        <v>173</v>
      </c>
      <c r="G11" s="17" t="s">
        <v>174</v>
      </c>
      <c r="H11" s="17" t="s">
        <v>175</v>
      </c>
      <c r="I11" s="17" t="s">
        <v>176</v>
      </c>
      <c r="J11" s="20" t="s">
        <v>177</v>
      </c>
      <c r="K11" s="17" t="s">
        <v>178</v>
      </c>
      <c r="L11" s="17" t="s">
        <v>159</v>
      </c>
    </row>
    <row r="12" customFormat="false" ht="90" hidden="false" customHeight="true" outlineLevel="0" collapsed="false">
      <c r="A12" s="16" t="s">
        <v>179</v>
      </c>
      <c r="B12" s="17" t="s">
        <v>79</v>
      </c>
      <c r="C12" s="17" t="s">
        <v>180</v>
      </c>
      <c r="D12" s="17" t="s">
        <v>45</v>
      </c>
      <c r="E12" s="17" t="s">
        <v>181</v>
      </c>
      <c r="F12" s="17" t="s">
        <v>182</v>
      </c>
      <c r="G12" s="21" t="s">
        <v>183</v>
      </c>
      <c r="H12" s="17" t="s">
        <v>184</v>
      </c>
      <c r="I12" s="17" t="s">
        <v>185</v>
      </c>
      <c r="J12" s="17" t="s">
        <v>45</v>
      </c>
      <c r="K12" s="17" t="s">
        <v>158</v>
      </c>
      <c r="L12" s="17" t="s">
        <v>186</v>
      </c>
    </row>
    <row r="13" customFormat="false" ht="90" hidden="false" customHeight="true" outlineLevel="0" collapsed="false">
      <c r="A13" s="16" t="s">
        <v>187</v>
      </c>
      <c r="B13" s="17" t="s">
        <v>188</v>
      </c>
      <c r="C13" s="17" t="s">
        <v>189</v>
      </c>
      <c r="D13" s="17" t="s">
        <v>190</v>
      </c>
      <c r="E13" s="17" t="s">
        <v>191</v>
      </c>
      <c r="F13" s="17" t="s">
        <v>192</v>
      </c>
      <c r="G13" s="17" t="s">
        <v>193</v>
      </c>
      <c r="H13" s="17" t="s">
        <v>194</v>
      </c>
      <c r="I13" s="17" t="s">
        <v>45</v>
      </c>
      <c r="J13" s="17" t="s">
        <v>45</v>
      </c>
      <c r="K13" s="17" t="s">
        <v>195</v>
      </c>
      <c r="L13" s="17" t="s">
        <v>196</v>
      </c>
    </row>
    <row r="14" customFormat="false" ht="90" hidden="false" customHeight="true" outlineLevel="0" collapsed="false">
      <c r="A14" s="16" t="s">
        <v>197</v>
      </c>
      <c r="B14" s="17" t="s">
        <v>198</v>
      </c>
      <c r="C14" s="17" t="s">
        <v>199</v>
      </c>
      <c r="D14" s="17" t="s">
        <v>45</v>
      </c>
      <c r="E14" s="17" t="s">
        <v>200</v>
      </c>
      <c r="F14" s="17" t="s">
        <v>201</v>
      </c>
      <c r="G14" s="17" t="s">
        <v>202</v>
      </c>
      <c r="H14" s="19" t="s">
        <v>203</v>
      </c>
      <c r="I14" s="17" t="s">
        <v>45</v>
      </c>
      <c r="J14" s="17" t="s">
        <v>45</v>
      </c>
      <c r="K14" s="17" t="s">
        <v>93</v>
      </c>
      <c r="L14" s="17" t="s">
        <v>94</v>
      </c>
    </row>
    <row r="15" customFormat="false" ht="90" hidden="false" customHeight="true" outlineLevel="0" collapsed="false">
      <c r="A15" s="16" t="s">
        <v>204</v>
      </c>
      <c r="B15" s="17" t="s">
        <v>205</v>
      </c>
      <c r="C15" s="17" t="s">
        <v>206</v>
      </c>
      <c r="D15" s="17" t="s">
        <v>45</v>
      </c>
      <c r="E15" s="17" t="s">
        <v>207</v>
      </c>
      <c r="F15" s="19" t="s">
        <v>208</v>
      </c>
      <c r="G15" s="17" t="s">
        <v>209</v>
      </c>
      <c r="H15" s="17" t="s">
        <v>210</v>
      </c>
      <c r="I15" s="17" t="s">
        <v>45</v>
      </c>
      <c r="J15" s="17" t="s">
        <v>45</v>
      </c>
      <c r="K15" s="17" t="s">
        <v>211</v>
      </c>
      <c r="L15" s="17" t="s">
        <v>212</v>
      </c>
    </row>
    <row r="16" customFormat="false" ht="90" hidden="false" customHeight="true" outlineLevel="0" collapsed="false">
      <c r="A16" s="16" t="s">
        <v>213</v>
      </c>
      <c r="B16" s="17" t="s">
        <v>214</v>
      </c>
      <c r="C16" s="17" t="s">
        <v>215</v>
      </c>
      <c r="D16" s="17" t="s">
        <v>45</v>
      </c>
      <c r="E16" s="21" t="s">
        <v>216</v>
      </c>
      <c r="F16" s="17" t="s">
        <v>217</v>
      </c>
      <c r="G16" s="17" t="s">
        <v>218</v>
      </c>
      <c r="H16" s="19" t="s">
        <v>219</v>
      </c>
      <c r="I16" s="17" t="s">
        <v>45</v>
      </c>
      <c r="J16" s="17" t="s">
        <v>45</v>
      </c>
      <c r="K16" s="17" t="s">
        <v>220</v>
      </c>
      <c r="L16" s="17" t="s">
        <v>221</v>
      </c>
    </row>
  </sheetData>
  <mergeCells count="2">
    <mergeCell ref="A1:L1"/>
    <mergeCell ref="A2:L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222</v>
      </c>
      <c r="B1" s="1"/>
      <c r="C1" s="1"/>
      <c r="D1" s="1"/>
      <c r="E1" s="1"/>
    </row>
    <row r="2" customFormat="false" ht="11.9" hidden="false" customHeight="false" outlineLevel="0" collapsed="false">
      <c r="A2" s="2" t="s">
        <v>223</v>
      </c>
      <c r="B2" s="2"/>
      <c r="C2" s="2"/>
      <c r="D2" s="2"/>
      <c r="E2" s="2"/>
    </row>
    <row r="4" customFormat="false" ht="33.75" hidden="false" customHeight="true" outlineLevel="0" collapsed="false">
      <c r="A4" s="11" t="s">
        <v>224</v>
      </c>
      <c r="B4" s="11" t="s">
        <v>225</v>
      </c>
      <c r="C4" s="11" t="s">
        <v>38</v>
      </c>
      <c r="D4" s="11" t="s">
        <v>226</v>
      </c>
      <c r="E4" s="11" t="s">
        <v>227</v>
      </c>
    </row>
    <row r="5" customFormat="false" ht="51.75" hidden="false" customHeight="true" outlineLevel="0" collapsed="false">
      <c r="A5" s="22" t="s">
        <v>228</v>
      </c>
      <c r="B5" s="13" t="s">
        <v>229</v>
      </c>
      <c r="C5" s="13" t="s">
        <v>230</v>
      </c>
      <c r="D5" s="13" t="s">
        <v>231</v>
      </c>
      <c r="E5" s="13" t="s">
        <v>232</v>
      </c>
    </row>
    <row r="6" customFormat="false" ht="51.75" hidden="false" customHeight="true" outlineLevel="0" collapsed="false">
      <c r="A6" s="22" t="s">
        <v>233</v>
      </c>
      <c r="B6" s="13" t="s">
        <v>234</v>
      </c>
      <c r="C6" s="13" t="s">
        <v>235</v>
      </c>
      <c r="D6" s="23" t="s">
        <v>236</v>
      </c>
      <c r="E6" s="13" t="s">
        <v>237</v>
      </c>
    </row>
    <row r="7" customFormat="false" ht="51.75" hidden="false" customHeight="true" outlineLevel="0" collapsed="false">
      <c r="A7" s="22" t="s">
        <v>238</v>
      </c>
      <c r="B7" s="13" t="s">
        <v>239</v>
      </c>
      <c r="C7" s="13" t="s">
        <v>240</v>
      </c>
      <c r="D7" s="23" t="s">
        <v>241</v>
      </c>
      <c r="E7" s="13" t="s">
        <v>242</v>
      </c>
    </row>
    <row r="8" customFormat="false" ht="51.75" hidden="false" customHeight="true" outlineLevel="0" collapsed="false">
      <c r="A8" s="22" t="s">
        <v>243</v>
      </c>
      <c r="B8" s="13" t="s">
        <v>244</v>
      </c>
      <c r="C8" s="13" t="s">
        <v>50</v>
      </c>
      <c r="D8" s="23" t="s">
        <v>245</v>
      </c>
      <c r="E8" s="13" t="s">
        <v>246</v>
      </c>
    </row>
    <row r="9" customFormat="false" ht="51.75" hidden="false" customHeight="true" outlineLevel="0" collapsed="false">
      <c r="A9" s="22" t="s">
        <v>247</v>
      </c>
      <c r="B9" s="13" t="s">
        <v>248</v>
      </c>
      <c r="C9" s="13" t="s">
        <v>249</v>
      </c>
      <c r="D9" s="13" t="s">
        <v>250</v>
      </c>
      <c r="E9" s="13" t="s">
        <v>251</v>
      </c>
    </row>
    <row r="10" customFormat="false" ht="51.75" hidden="false" customHeight="true" outlineLevel="0" collapsed="false">
      <c r="A10" s="22" t="s">
        <v>252</v>
      </c>
      <c r="B10" s="13" t="s">
        <v>253</v>
      </c>
      <c r="C10" s="13" t="s">
        <v>254</v>
      </c>
      <c r="D10" s="23" t="s">
        <v>255</v>
      </c>
      <c r="E10" s="13" t="s">
        <v>256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257</v>
      </c>
      <c r="B1" s="1"/>
      <c r="C1" s="1"/>
      <c r="D1" s="1"/>
      <c r="E1" s="1"/>
    </row>
    <row r="2" customFormat="false" ht="11.9" hidden="false" customHeight="false" outlineLevel="0" collapsed="false">
      <c r="A2" s="2" t="s">
        <v>258</v>
      </c>
      <c r="B2" s="2"/>
      <c r="C2" s="2"/>
      <c r="D2" s="2"/>
      <c r="E2" s="2"/>
    </row>
    <row r="4" customFormat="false" ht="33.75" hidden="false" customHeight="true" outlineLevel="0" collapsed="false">
      <c r="A4" s="11" t="s">
        <v>259</v>
      </c>
      <c r="B4" s="11" t="s">
        <v>260</v>
      </c>
      <c r="C4" s="11" t="s">
        <v>38</v>
      </c>
      <c r="D4" s="11" t="s">
        <v>261</v>
      </c>
      <c r="E4" s="11" t="s">
        <v>262</v>
      </c>
    </row>
    <row r="5" customFormat="false" ht="31.5" hidden="false" customHeight="true" outlineLevel="0" collapsed="false">
      <c r="A5" s="14" t="s">
        <v>263</v>
      </c>
      <c r="B5" s="24" t="s">
        <v>264</v>
      </c>
      <c r="C5" s="13" t="s">
        <v>265</v>
      </c>
      <c r="D5" s="25"/>
      <c r="E5" s="25"/>
    </row>
    <row r="6" customFormat="false" ht="31.5" hidden="false" customHeight="true" outlineLevel="0" collapsed="false">
      <c r="A6" s="14" t="s">
        <v>266</v>
      </c>
      <c r="B6" s="24" t="s">
        <v>267</v>
      </c>
      <c r="C6" s="13" t="s">
        <v>268</v>
      </c>
      <c r="D6" s="25"/>
      <c r="E6" s="25"/>
    </row>
    <row r="7" customFormat="false" ht="31.5" hidden="false" customHeight="true" outlineLevel="0" collapsed="false">
      <c r="A7" s="14" t="s">
        <v>269</v>
      </c>
      <c r="B7" s="13" t="s">
        <v>270</v>
      </c>
      <c r="C7" s="13" t="s">
        <v>271</v>
      </c>
      <c r="D7" s="25"/>
      <c r="E7" s="25"/>
    </row>
    <row r="8" customFormat="false" ht="31.5" hidden="false" customHeight="true" outlineLevel="0" collapsed="false">
      <c r="A8" s="14" t="s">
        <v>272</v>
      </c>
      <c r="B8" s="24" t="s">
        <v>273</v>
      </c>
      <c r="C8" s="13" t="s">
        <v>271</v>
      </c>
      <c r="D8" s="25"/>
      <c r="E8" s="25"/>
    </row>
    <row r="9" customFormat="false" ht="31.5" hidden="false" customHeight="true" outlineLevel="0" collapsed="false">
      <c r="A9" s="14" t="s">
        <v>274</v>
      </c>
      <c r="B9" s="24" t="s">
        <v>267</v>
      </c>
      <c r="C9" s="13" t="s">
        <v>268</v>
      </c>
      <c r="D9" s="25"/>
      <c r="E9" s="25"/>
    </row>
    <row r="10" customFormat="false" ht="31.5" hidden="false" customHeight="true" outlineLevel="0" collapsed="false">
      <c r="A10" s="14" t="s">
        <v>275</v>
      </c>
      <c r="B10" s="13" t="s">
        <v>276</v>
      </c>
      <c r="C10" s="13" t="s">
        <v>268</v>
      </c>
      <c r="D10" s="25"/>
      <c r="E10" s="25"/>
    </row>
    <row r="11" customFormat="false" ht="31.5" hidden="false" customHeight="true" outlineLevel="0" collapsed="false">
      <c r="A11" s="14" t="s">
        <v>277</v>
      </c>
      <c r="B11" s="13" t="s">
        <v>278</v>
      </c>
      <c r="C11" s="13" t="s">
        <v>268</v>
      </c>
      <c r="D11" s="25"/>
      <c r="E11" s="25"/>
    </row>
    <row r="12" customFormat="false" ht="31.5" hidden="false" customHeight="true" outlineLevel="0" collapsed="false">
      <c r="A12" s="14" t="s">
        <v>279</v>
      </c>
      <c r="B12" s="13" t="s">
        <v>280</v>
      </c>
      <c r="C12" s="13" t="s">
        <v>281</v>
      </c>
      <c r="D12" s="25"/>
      <c r="E12" s="25"/>
    </row>
    <row r="13" customFormat="false" ht="31.5" hidden="false" customHeight="true" outlineLevel="0" collapsed="false">
      <c r="A13" s="14" t="s">
        <v>282</v>
      </c>
      <c r="B13" s="13" t="s">
        <v>283</v>
      </c>
      <c r="C13" s="13" t="s">
        <v>284</v>
      </c>
      <c r="D13" s="25"/>
      <c r="E13" s="25"/>
    </row>
    <row r="14" customFormat="false" ht="31.5" hidden="false" customHeight="true" outlineLevel="0" collapsed="false">
      <c r="A14" s="14" t="s">
        <v>285</v>
      </c>
      <c r="B14" s="13" t="s">
        <v>286</v>
      </c>
      <c r="C14" s="13" t="s">
        <v>287</v>
      </c>
      <c r="D14" s="25"/>
      <c r="E14" s="25"/>
    </row>
    <row r="15" customFormat="false" ht="31.5" hidden="false" customHeight="true" outlineLevel="0" collapsed="false">
      <c r="A15" s="14" t="s">
        <v>288</v>
      </c>
      <c r="B15" s="23" t="s">
        <v>289</v>
      </c>
      <c r="C15" s="13" t="s">
        <v>287</v>
      </c>
      <c r="D15" s="25"/>
      <c r="E15" s="25"/>
    </row>
    <row r="16" customFormat="false" ht="31.5" hidden="false" customHeight="true" outlineLevel="0" collapsed="false">
      <c r="A16" s="14" t="s">
        <v>290</v>
      </c>
      <c r="B16" s="13" t="s">
        <v>291</v>
      </c>
      <c r="C16" s="13" t="s">
        <v>292</v>
      </c>
      <c r="D16" s="25"/>
      <c r="E16" s="25"/>
    </row>
  </sheetData>
  <mergeCells count="2">
    <mergeCell ref="A1:E1"/>
    <mergeCell ref="A2:E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293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294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295</v>
      </c>
      <c r="B3" s="4"/>
      <c r="C3" s="4"/>
      <c r="D3" s="3" t="s">
        <v>5</v>
      </c>
      <c r="E3" s="4"/>
      <c r="F3" s="4"/>
    </row>
    <row r="5" customFormat="false" ht="33.75" hidden="false" customHeight="true" outlineLevel="0" collapsed="false">
      <c r="A5" s="11" t="s">
        <v>296</v>
      </c>
      <c r="B5" s="11" t="s">
        <v>297</v>
      </c>
      <c r="C5" s="11" t="s">
        <v>298</v>
      </c>
      <c r="D5" s="11"/>
      <c r="E5" s="11"/>
      <c r="F5" s="11" t="s">
        <v>299</v>
      </c>
    </row>
    <row r="6" customFormat="false" ht="39.75" hidden="false" customHeight="true" outlineLevel="0" collapsed="false">
      <c r="A6" s="12" t="n">
        <v>1</v>
      </c>
      <c r="B6" s="13" t="s">
        <v>300</v>
      </c>
      <c r="C6" s="26"/>
      <c r="D6" s="26"/>
      <c r="E6" s="26"/>
      <c r="F6" s="15"/>
    </row>
    <row r="7" customFormat="false" ht="39.75" hidden="false" customHeight="true" outlineLevel="0" collapsed="false">
      <c r="A7" s="12" t="n">
        <v>2</v>
      </c>
      <c r="B7" s="13" t="s">
        <v>301</v>
      </c>
      <c r="C7" s="26"/>
      <c r="D7" s="26"/>
      <c r="E7" s="26"/>
      <c r="F7" s="15"/>
    </row>
    <row r="8" customFormat="false" ht="39.75" hidden="false" customHeight="true" outlineLevel="0" collapsed="false">
      <c r="A8" s="12" t="n">
        <v>3</v>
      </c>
      <c r="B8" s="13" t="s">
        <v>302</v>
      </c>
      <c r="C8" s="26"/>
      <c r="D8" s="26"/>
      <c r="E8" s="26"/>
      <c r="F8" s="15"/>
    </row>
    <row r="9" customFormat="false" ht="39.75" hidden="false" customHeight="true" outlineLevel="0" collapsed="false">
      <c r="A9" s="12" t="n">
        <v>4</v>
      </c>
      <c r="B9" s="13" t="s">
        <v>303</v>
      </c>
      <c r="C9" s="26"/>
      <c r="D9" s="26"/>
      <c r="E9" s="26"/>
      <c r="F9" s="15"/>
    </row>
    <row r="10" customFormat="false" ht="39.75" hidden="false" customHeight="true" outlineLevel="0" collapsed="false">
      <c r="A10" s="12" t="n">
        <v>5</v>
      </c>
      <c r="B10" s="13" t="s">
        <v>304</v>
      </c>
      <c r="C10" s="26"/>
      <c r="D10" s="26"/>
      <c r="E10" s="26"/>
      <c r="F10" s="15"/>
    </row>
    <row r="11" customFormat="false" ht="39.75" hidden="false" customHeight="true" outlineLevel="0" collapsed="false">
      <c r="A11" s="12" t="n">
        <v>6</v>
      </c>
      <c r="B11" s="13" t="s">
        <v>305</v>
      </c>
      <c r="C11" s="26"/>
      <c r="D11" s="26"/>
      <c r="E11" s="26"/>
      <c r="F11" s="15"/>
    </row>
    <row r="12" customFormat="false" ht="39.75" hidden="false" customHeight="true" outlineLevel="0" collapsed="false">
      <c r="A12" s="12" t="n">
        <v>7</v>
      </c>
      <c r="B12" s="13" t="s">
        <v>306</v>
      </c>
      <c r="C12" s="26"/>
      <c r="D12" s="26"/>
      <c r="E12" s="26"/>
      <c r="F12" s="15"/>
    </row>
    <row r="13" customFormat="false" ht="39.75" hidden="false" customHeight="true" outlineLevel="0" collapsed="false">
      <c r="A13" s="12" t="n">
        <v>8</v>
      </c>
      <c r="B13" s="13" t="s">
        <v>307</v>
      </c>
      <c r="C13" s="26"/>
      <c r="D13" s="26"/>
      <c r="E13" s="26"/>
      <c r="F13" s="15"/>
    </row>
    <row r="14" customFormat="false" ht="39.75" hidden="false" customHeight="true" outlineLevel="0" collapsed="false">
      <c r="A14" s="12" t="n">
        <v>9</v>
      </c>
      <c r="B14" s="13" t="s">
        <v>308</v>
      </c>
      <c r="C14" s="26"/>
      <c r="D14" s="26"/>
      <c r="E14" s="26"/>
      <c r="F14" s="15"/>
    </row>
    <row r="15" customFormat="false" ht="39.75" hidden="false" customHeight="true" outlineLevel="0" collapsed="false">
      <c r="A15" s="12" t="n">
        <v>10</v>
      </c>
      <c r="B15" s="13" t="s">
        <v>309</v>
      </c>
      <c r="C15" s="26"/>
      <c r="D15" s="26"/>
      <c r="E15" s="26"/>
      <c r="F15" s="15"/>
    </row>
    <row r="16" customFormat="false" ht="15" hidden="false" customHeight="false" outlineLevel="0" collapsed="false">
      <c r="A16" s="27" t="s">
        <v>310</v>
      </c>
      <c r="B16" s="27"/>
      <c r="C16" s="27"/>
      <c r="D16" s="27"/>
      <c r="E16" s="27"/>
      <c r="F16" s="28" t="n">
        <f aca="false">SUM(F6:F15)</f>
        <v>0</v>
      </c>
    </row>
    <row r="18" customFormat="false" ht="14.9" hidden="false" customHeight="false" outlineLevel="0" collapsed="false">
      <c r="A18" s="29" t="s">
        <v>311</v>
      </c>
      <c r="B18" s="29"/>
      <c r="C18" s="29"/>
      <c r="D18" s="29"/>
      <c r="E18" s="29"/>
      <c r="F18" s="29"/>
    </row>
    <row r="19" customFormat="false" ht="33.75" hidden="false" customHeight="true" outlineLevel="0" collapsed="false">
      <c r="A19" s="11" t="s">
        <v>312</v>
      </c>
      <c r="B19" s="11" t="s">
        <v>295</v>
      </c>
      <c r="C19" s="11" t="s">
        <v>313</v>
      </c>
      <c r="D19" s="11" t="s">
        <v>314</v>
      </c>
      <c r="E19" s="11" t="s">
        <v>315</v>
      </c>
      <c r="F19" s="11" t="s">
        <v>316</v>
      </c>
    </row>
    <row r="20" customFormat="false" ht="21.75" hidden="false" customHeight="true" outlineLevel="0" collapsed="false">
      <c r="A20" s="12" t="n">
        <v>1</v>
      </c>
      <c r="B20" s="15"/>
      <c r="C20" s="15"/>
      <c r="D20" s="28" t="str">
        <f aca="false">IF(C20="","",IF(C20&gt;=8,"ผ่าน","ทบทวน"))</f>
        <v/>
      </c>
      <c r="E20" s="15"/>
      <c r="F20" s="15"/>
    </row>
    <row r="21" customFormat="false" ht="21.75" hidden="false" customHeight="true" outlineLevel="0" collapsed="false">
      <c r="A21" s="12" t="n">
        <v>2</v>
      </c>
      <c r="B21" s="15"/>
      <c r="C21" s="15"/>
      <c r="D21" s="28" t="str">
        <f aca="false">IF(C21="","",IF(C21&gt;=8,"ผ่าน","ทบทวน"))</f>
        <v/>
      </c>
      <c r="E21" s="15"/>
      <c r="F21" s="15"/>
    </row>
    <row r="22" customFormat="false" ht="21.75" hidden="false" customHeight="true" outlineLevel="0" collapsed="false">
      <c r="A22" s="12" t="n">
        <v>3</v>
      </c>
      <c r="B22" s="15"/>
      <c r="C22" s="15"/>
      <c r="D22" s="28" t="str">
        <f aca="false">IF(C22="","",IF(C22&gt;=8,"ผ่าน","ทบทวน"))</f>
        <v/>
      </c>
      <c r="E22" s="15"/>
      <c r="F22" s="15"/>
    </row>
    <row r="23" customFormat="false" ht="21.75" hidden="false" customHeight="true" outlineLevel="0" collapsed="false">
      <c r="A23" s="12" t="n">
        <v>4</v>
      </c>
      <c r="B23" s="15"/>
      <c r="C23" s="15"/>
      <c r="D23" s="28" t="str">
        <f aca="false">IF(C23="","",IF(C23&gt;=8,"ผ่าน","ทบทวน"))</f>
        <v/>
      </c>
      <c r="E23" s="15"/>
      <c r="F23" s="15"/>
    </row>
    <row r="24" customFormat="false" ht="21.75" hidden="false" customHeight="true" outlineLevel="0" collapsed="false">
      <c r="A24" s="12" t="n">
        <v>5</v>
      </c>
      <c r="B24" s="15"/>
      <c r="C24" s="15"/>
      <c r="D24" s="28" t="str">
        <f aca="false">IF(C24="","",IF(C24&gt;=8,"ผ่าน","ทบทวน"))</f>
        <v/>
      </c>
      <c r="E24" s="15"/>
      <c r="F24" s="15"/>
    </row>
    <row r="25" customFormat="false" ht="21.75" hidden="false" customHeight="true" outlineLevel="0" collapsed="false">
      <c r="A25" s="12" t="n">
        <v>6</v>
      </c>
      <c r="B25" s="15"/>
      <c r="C25" s="15"/>
      <c r="D25" s="28" t="str">
        <f aca="false">IF(C25="","",IF(C25&gt;=8,"ผ่าน","ทบทวน"))</f>
        <v/>
      </c>
      <c r="E25" s="15"/>
      <c r="F25" s="15"/>
    </row>
    <row r="26" customFormat="false" ht="21.75" hidden="false" customHeight="true" outlineLevel="0" collapsed="false">
      <c r="A26" s="12" t="n">
        <v>7</v>
      </c>
      <c r="B26" s="15"/>
      <c r="C26" s="15"/>
      <c r="D26" s="28" t="str">
        <f aca="false">IF(C26="","",IF(C26&gt;=8,"ผ่าน","ทบทวน"))</f>
        <v/>
      </c>
      <c r="E26" s="15"/>
      <c r="F26" s="15"/>
    </row>
    <row r="27" customFormat="false" ht="21.75" hidden="false" customHeight="true" outlineLevel="0" collapsed="false">
      <c r="A27" s="12" t="n">
        <v>8</v>
      </c>
      <c r="B27" s="15"/>
      <c r="C27" s="15"/>
      <c r="D27" s="28" t="str">
        <f aca="false">IF(C27="","",IF(C27&gt;=8,"ผ่าน","ทบทวน"))</f>
        <v/>
      </c>
      <c r="E27" s="15"/>
      <c r="F27" s="15"/>
    </row>
    <row r="28" customFormat="false" ht="21.75" hidden="false" customHeight="true" outlineLevel="0" collapsed="false">
      <c r="A28" s="12" t="n">
        <v>9</v>
      </c>
      <c r="B28" s="15"/>
      <c r="C28" s="15"/>
      <c r="D28" s="28" t="str">
        <f aca="false">IF(C28="","",IF(C28&gt;=8,"ผ่าน","ทบทวน"))</f>
        <v/>
      </c>
      <c r="E28" s="15"/>
      <c r="F28" s="15"/>
    </row>
    <row r="29" customFormat="false" ht="21.75" hidden="false" customHeight="true" outlineLevel="0" collapsed="false">
      <c r="A29" s="12" t="n">
        <v>10</v>
      </c>
      <c r="B29" s="15"/>
      <c r="C29" s="15"/>
      <c r="D29" s="28" t="str">
        <f aca="false">IF(C29="","",IF(C29&gt;=8,"ผ่าน","ทบทวน"))</f>
        <v/>
      </c>
      <c r="E29" s="15"/>
      <c r="F29" s="15"/>
    </row>
    <row r="30" customFormat="false" ht="12.65" hidden="false" customHeight="false" outlineLevel="0" collapsed="false">
      <c r="A30" s="30" t="str">
        <f aca="false">COUNTIF(D20:D29,"ผ่าน")&amp;" คนผ่าน จาก "&amp;COUNT(C20:C29)&amp;" คนที่ทดสอบ"</f>
        <v>0 คนผ่าน จาก 0 คนที่ทดสอบ</v>
      </c>
      <c r="B30" s="30"/>
      <c r="C30" s="30"/>
      <c r="D30" s="30"/>
      <c r="E30" s="30"/>
      <c r="F30" s="30"/>
    </row>
  </sheetData>
  <mergeCells count="17">
    <mergeCell ref="A1:F1"/>
    <mergeCell ref="A2:F2"/>
    <mergeCell ref="B3:C3"/>
    <mergeCell ref="E3:F3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6:E16"/>
    <mergeCell ref="A18:F18"/>
    <mergeCell ref="A30:F30"/>
  </mergeCells>
  <dataValidations count="2">
    <dataValidation allowBlank="true" errorStyle="stop" operator="between" showDropDown="false" showErrorMessage="false" showInputMessage="false" sqref="F6:F15" type="list">
      <formula1>"1,0"</formula1>
      <formula2>0</formula2>
    </dataValidation>
    <dataValidation allowBlank="true" errorStyle="stop" operator="between" prompt="1 รู้ (Know) · 2 ทำได้ (Can manage) · 3 มั่นใจ (Confident) · 4 สอนได้ (Can teach)" promptTitle="ระดับทักษะ" showDropDown="false" showErrorMessage="false" showInputMessage="false" sqref="E20:E29" type="list">
      <formula1>"1 รู้,2 ทำได้,3 มั่นใจ,4 สอนได้"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56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317</v>
      </c>
      <c r="B1" s="1"/>
      <c r="C1" s="1"/>
      <c r="D1" s="1"/>
    </row>
    <row r="2" customFormat="false" ht="11.9" hidden="false" customHeight="false" outlineLevel="0" collapsed="false">
      <c r="A2" s="2" t="s">
        <v>318</v>
      </c>
      <c r="B2" s="2"/>
      <c r="C2" s="2"/>
      <c r="D2" s="2"/>
    </row>
    <row r="4" customFormat="false" ht="33.75" hidden="false" customHeight="true" outlineLevel="0" collapsed="false">
      <c r="A4" s="11" t="s">
        <v>296</v>
      </c>
      <c r="B4" s="11" t="s">
        <v>297</v>
      </c>
      <c r="C4" s="11" t="s">
        <v>319</v>
      </c>
      <c r="D4" s="11" t="s">
        <v>320</v>
      </c>
    </row>
    <row r="5" customFormat="false" ht="33.75" hidden="false" customHeight="true" outlineLevel="0" collapsed="false">
      <c r="A5" s="12" t="n">
        <v>1</v>
      </c>
      <c r="B5" s="13" t="s">
        <v>321</v>
      </c>
      <c r="C5" s="14" t="s">
        <v>322</v>
      </c>
      <c r="D5" s="13" t="s">
        <v>323</v>
      </c>
    </row>
    <row r="6" customFormat="false" ht="33.75" hidden="false" customHeight="true" outlineLevel="0" collapsed="false">
      <c r="A6" s="12" t="n">
        <v>2</v>
      </c>
      <c r="B6" s="13" t="s">
        <v>324</v>
      </c>
      <c r="C6" s="14" t="s">
        <v>325</v>
      </c>
      <c r="D6" s="13" t="s">
        <v>326</v>
      </c>
    </row>
    <row r="7" customFormat="false" ht="33.75" hidden="false" customHeight="true" outlineLevel="0" collapsed="false">
      <c r="A7" s="12" t="n">
        <v>3</v>
      </c>
      <c r="B7" s="13" t="s">
        <v>327</v>
      </c>
      <c r="C7" s="14" t="s">
        <v>328</v>
      </c>
      <c r="D7" s="13" t="s">
        <v>329</v>
      </c>
    </row>
    <row r="8" customFormat="false" ht="33.75" hidden="false" customHeight="true" outlineLevel="0" collapsed="false">
      <c r="A8" s="12" t="n">
        <v>4</v>
      </c>
      <c r="B8" s="13" t="s">
        <v>330</v>
      </c>
      <c r="C8" s="14" t="s">
        <v>331</v>
      </c>
      <c r="D8" s="13" t="s">
        <v>332</v>
      </c>
    </row>
    <row r="9" customFormat="false" ht="33.75" hidden="false" customHeight="true" outlineLevel="0" collapsed="false">
      <c r="A9" s="12" t="n">
        <v>5</v>
      </c>
      <c r="B9" s="13" t="s">
        <v>333</v>
      </c>
      <c r="C9" s="14" t="s">
        <v>334</v>
      </c>
      <c r="D9" s="13" t="s">
        <v>335</v>
      </c>
    </row>
    <row r="10" customFormat="false" ht="33.75" hidden="false" customHeight="true" outlineLevel="0" collapsed="false">
      <c r="A10" s="12" t="n">
        <v>6</v>
      </c>
      <c r="B10" s="13" t="s">
        <v>336</v>
      </c>
      <c r="C10" s="14" t="s">
        <v>337</v>
      </c>
      <c r="D10" s="13" t="s">
        <v>329</v>
      </c>
    </row>
    <row r="11" customFormat="false" ht="33.75" hidden="false" customHeight="true" outlineLevel="0" collapsed="false">
      <c r="A11" s="12" t="n">
        <v>7</v>
      </c>
      <c r="B11" s="13" t="s">
        <v>338</v>
      </c>
      <c r="C11" s="14" t="s">
        <v>339</v>
      </c>
      <c r="D11" s="13" t="s">
        <v>326</v>
      </c>
    </row>
    <row r="12" customFormat="false" ht="33.75" hidden="false" customHeight="true" outlineLevel="0" collapsed="false">
      <c r="A12" s="12" t="n">
        <v>8</v>
      </c>
      <c r="B12" s="13" t="s">
        <v>340</v>
      </c>
      <c r="C12" s="14" t="s">
        <v>341</v>
      </c>
      <c r="D12" s="13" t="s">
        <v>342</v>
      </c>
    </row>
    <row r="13" customFormat="false" ht="33.75" hidden="false" customHeight="true" outlineLevel="0" collapsed="false">
      <c r="A13" s="12" t="n">
        <v>9</v>
      </c>
      <c r="B13" s="13" t="s">
        <v>343</v>
      </c>
      <c r="C13" s="14" t="s">
        <v>202</v>
      </c>
      <c r="D13" s="13" t="s">
        <v>344</v>
      </c>
    </row>
    <row r="14" customFormat="false" ht="33.75" hidden="false" customHeight="true" outlineLevel="0" collapsed="false">
      <c r="A14" s="12" t="n">
        <v>10</v>
      </c>
      <c r="B14" s="13" t="s">
        <v>345</v>
      </c>
      <c r="C14" s="14" t="s">
        <v>346</v>
      </c>
      <c r="D14" s="13" t="s">
        <v>347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348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349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11" t="s">
        <v>312</v>
      </c>
      <c r="B4" s="11" t="s">
        <v>350</v>
      </c>
      <c r="C4" s="11" t="s">
        <v>351</v>
      </c>
      <c r="D4" s="11" t="s">
        <v>352</v>
      </c>
      <c r="E4" s="11" t="s">
        <v>262</v>
      </c>
      <c r="F4" s="11" t="s">
        <v>5</v>
      </c>
      <c r="G4" s="11" t="s">
        <v>353</v>
      </c>
    </row>
    <row r="5" customFormat="false" ht="36" hidden="false" customHeight="true" outlineLevel="0" collapsed="false">
      <c r="A5" s="12" t="n">
        <v>1</v>
      </c>
      <c r="B5" s="13" t="s">
        <v>354</v>
      </c>
      <c r="C5" s="13" t="s">
        <v>355</v>
      </c>
      <c r="D5" s="24" t="s">
        <v>267</v>
      </c>
      <c r="E5" s="31"/>
      <c r="F5" s="31"/>
      <c r="G5" s="31"/>
    </row>
    <row r="6" customFormat="false" ht="36" hidden="false" customHeight="true" outlineLevel="0" collapsed="false">
      <c r="A6" s="12" t="n">
        <v>2</v>
      </c>
      <c r="B6" s="13" t="s">
        <v>356</v>
      </c>
      <c r="C6" s="13" t="s">
        <v>357</v>
      </c>
      <c r="D6" s="24" t="s">
        <v>358</v>
      </c>
      <c r="E6" s="31"/>
      <c r="F6" s="31"/>
      <c r="G6" s="31"/>
    </row>
    <row r="7" customFormat="false" ht="36" hidden="false" customHeight="true" outlineLevel="0" collapsed="false">
      <c r="A7" s="12" t="n">
        <v>3</v>
      </c>
      <c r="B7" s="23" t="s">
        <v>359</v>
      </c>
      <c r="C7" s="13" t="s">
        <v>360</v>
      </c>
      <c r="D7" s="13" t="s">
        <v>361</v>
      </c>
      <c r="E7" s="31"/>
      <c r="F7" s="31"/>
      <c r="G7" s="31"/>
    </row>
    <row r="8" customFormat="false" ht="36" hidden="false" customHeight="true" outlineLevel="0" collapsed="false">
      <c r="A8" s="12" t="n">
        <v>4</v>
      </c>
      <c r="B8" s="13" t="s">
        <v>362</v>
      </c>
      <c r="C8" s="13" t="s">
        <v>363</v>
      </c>
      <c r="D8" s="24" t="s">
        <v>267</v>
      </c>
      <c r="E8" s="31"/>
      <c r="F8" s="31"/>
      <c r="G8" s="31"/>
    </row>
    <row r="9" customFormat="false" ht="36" hidden="false" customHeight="true" outlineLevel="0" collapsed="false">
      <c r="A9" s="12" t="n">
        <v>5</v>
      </c>
      <c r="B9" s="13" t="s">
        <v>364</v>
      </c>
      <c r="C9" s="13" t="s">
        <v>365</v>
      </c>
      <c r="D9" s="13" t="s">
        <v>366</v>
      </c>
      <c r="E9" s="31"/>
      <c r="F9" s="31"/>
      <c r="G9" s="31"/>
    </row>
    <row r="10" customFormat="false" ht="36" hidden="false" customHeight="true" outlineLevel="0" collapsed="false">
      <c r="A10" s="12" t="n">
        <v>6</v>
      </c>
      <c r="B10" s="13" t="s">
        <v>367</v>
      </c>
      <c r="C10" s="13" t="s">
        <v>368</v>
      </c>
      <c r="D10" s="13" t="s">
        <v>369</v>
      </c>
      <c r="E10" s="31"/>
      <c r="F10" s="31"/>
      <c r="G10" s="31"/>
    </row>
    <row r="11" customFormat="false" ht="36" hidden="false" customHeight="true" outlineLevel="0" collapsed="false">
      <c r="A11" s="12" t="n">
        <v>7</v>
      </c>
      <c r="B11" s="13" t="s">
        <v>370</v>
      </c>
      <c r="C11" s="13" t="s">
        <v>371</v>
      </c>
      <c r="D11" s="13" t="s">
        <v>366</v>
      </c>
      <c r="E11" s="31"/>
      <c r="F11" s="31"/>
      <c r="G11" s="31"/>
    </row>
    <row r="12" customFormat="false" ht="36" hidden="false" customHeight="true" outlineLevel="0" collapsed="false">
      <c r="A12" s="12" t="n">
        <v>8</v>
      </c>
      <c r="B12" s="13" t="s">
        <v>372</v>
      </c>
      <c r="C12" s="13" t="s">
        <v>373</v>
      </c>
      <c r="D12" s="24" t="s">
        <v>267</v>
      </c>
      <c r="E12" s="31"/>
      <c r="F12" s="31"/>
      <c r="G12" s="31"/>
    </row>
    <row r="13" customFormat="false" ht="36" hidden="false" customHeight="true" outlineLevel="0" collapsed="false">
      <c r="A13" s="12" t="n">
        <v>9</v>
      </c>
      <c r="B13" s="13" t="s">
        <v>374</v>
      </c>
      <c r="C13" s="13" t="s">
        <v>375</v>
      </c>
      <c r="D13" s="13" t="s">
        <v>376</v>
      </c>
      <c r="E13" s="31"/>
      <c r="F13" s="31"/>
      <c r="G13" s="31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2026-10-05T05:55:14Z</dcterms:created>
  <dc:creator>openpyxl</dc:creator>
  <dc:description/>
  <dc:language>en-US</dc:language>
  <cp:lastModifiedBy/>
  <dcterms:modified xsi:type="dcterms:W3CDTF">2026-10-05T05:55:14Z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