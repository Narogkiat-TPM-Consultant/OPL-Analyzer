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_To_Use" sheetId="1" state="visible" r:id="rId3"/>
    <sheet name="Breakdown" sheetId="2" state="visible" r:id="rId4"/>
    <sheet name="FMEA" sheetId="3" state="visible" r:id="rId5"/>
    <sheet name="AM_Standard" sheetId="4" state="visible" r:id="rId6"/>
    <sheet name="AM_Calendar" sheetId="5" state="visible" r:id="rId7"/>
    <sheet name="Kaizen_IoT_CBM" sheetId="6" state="visible" r:id="rId8"/>
    <sheet name="Verification" sheetId="7" state="visible" r:id="rId9"/>
    <sheet name="To_Confirm" sheetId="8" state="visible" r:id="rId10"/>
  </sheets>
  <definedNames>
    <definedName function="false" hidden="false" localSheetId="4" name="_xlnm.Print_Titles" vbProcedure="false">AM_Calendar!$4:$4</definedName>
    <definedName function="false" hidden="false" localSheetId="3" name="_xlnm.Print_Titles" vbProcedure="false">AM_Standard!$4:$4</definedName>
    <definedName function="false" hidden="false" localSheetId="1" name="_xlnm.Print_Titles" vbProcedure="false">Breakdown!$4:$4</definedName>
    <definedName function="false" hidden="false" localSheetId="2" name="_xlnm.Print_Titles" vbProcedure="false">FMEA!$4:$4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<sst xmlns="http://schemas.openxmlformats.org/spreadsheetml/2006/main" count="1417" uniqueCount="692">
  <si>
    <r>
      <rPr>
        <b val="true"/>
        <sz val="15"/>
        <color rgb="FFFFFFFF"/>
        <rFont val="Tahoma"/>
        <family val="0"/>
        <charset val="1"/>
      </rPr>
      <t xml:space="preserve">AM Standard — Hydraulic Unit (</t>
    </r>
    <r>
      <rPr>
        <b val="true"/>
        <sz val="15"/>
        <color rgb="FFFFFFFF"/>
        <rFont val="WenQuanYi Zen Hei"/>
        <family val="2"/>
      </rPr>
      <t xml:space="preserve">自主保全基準書 </t>
    </r>
    <r>
      <rPr>
        <b val="true"/>
        <sz val="15"/>
        <color rgb="FFFFFFFF"/>
        <rFont val="Tahoma"/>
        <family val="0"/>
        <charset val="1"/>
      </rPr>
      <t xml:space="preserve">= มาตรฐาน AM · ระบบไฮดรอลิก)</t>
    </r>
  </si>
  <si>
    <t xml:space="preserve">AM Step 3–4 · Module 4-3 (Hydraulics) · จาก OPL 5-A-1 … 5-C-13 (JIPM-Solutions · Equipment Skills Training – Hydraulic) · วิดีโอ EP01–EP21</t>
  </si>
  <si>
    <t xml:space="preserve">เครื่องจักร</t>
  </si>
  <si>
    <t xml:space="preserve">Line / Section</t>
  </si>
  <si>
    <t xml:space="preserve">AM Step</t>
  </si>
  <si>
    <t xml:space="preserve">วันที่ / ผู้จัดทำ</t>
  </si>
  <si>
    <t xml:space="preserve">ชีท</t>
  </si>
  <si>
    <t xml:space="preserve">ใช้ทำอะไร</t>
  </si>
  <si>
    <t xml:space="preserve">Breakdown</t>
  </si>
  <si>
    <t xml:space="preserve">Step 1 · แยก System → Component/Part · หน้าที่ · สภาพปกติ · Module M1–M6 (ฉบับเต็มอยู่ในไฟล์ Know_My_Machine_Hydraulic_Unit.xlsx)</t>
  </si>
  <si>
    <t xml:space="preserve">FMEA</t>
  </si>
  <si>
    <t xml:space="preserve">Step 2 + 3A · Failure mode/effect/cause → CILT gap + Stress/Strength · S/O/D พร้อมเหตุผล · RPN และ Risk level คำนวณด้วยสูตร</t>
  </si>
  <si>
    <t xml:space="preserve">AM_Standard</t>
  </si>
  <si>
    <t xml:space="preserve">Step 4 · มาตรฐาน CILT: วิธีทำ 1-2-3 · เกณฑ์ ✓/✗ · ความถี่ · เวลา · Risk · Kaizen · ผลถ้าละเลย · ผู้รับผิดชอบ · ข้อใน AM Check Sheet</t>
  </si>
  <si>
    <t xml:space="preserve">AM_Calendar</t>
  </si>
  <si>
    <t xml:space="preserve">ปฏิทิน 12 เดือนตามความถี่ใน AM_Standard (D/W/Q/S/A) · เดือนของรอบ 3 เดือน/6 เดือน/1 ปี เป็นข้อเสนอ *</t>
  </si>
  <si>
    <t xml:space="preserve">Kaizen_IoT_CBM</t>
  </si>
  <si>
    <t xml:space="preserve">Step 3B · จุดที่เป็น HTA (เข้าถึงยาก) หรือ SOC (แหล่งสกปรก) และใช้เวลา &gt; 2 นาที → Visual control · Karakuri · IoT CBM</t>
  </si>
  <si>
    <t xml:space="preserve">Verification</t>
  </si>
  <si>
    <t xml:space="preserve">Step 5 · ตรวจ V1–V10 ก่อนใช้</t>
  </si>
  <si>
    <t xml:space="preserve">To_Confirm</t>
  </si>
  <si>
    <t xml:space="preserve">ประเด็นที่หัวหน้างาน / ฝ่ายซ่อม / Safety ต้องยืนยัน</t>
  </si>
  <si>
    <t xml:space="preserve">CILT</t>
  </si>
  <si>
    <r>
      <rPr>
        <sz val="10"/>
        <color rgb="FF1A1D21"/>
        <rFont val="Tahoma"/>
        <family val="0"/>
        <charset val="1"/>
      </rPr>
      <t xml:space="preserve">C = Cleaning (</t>
    </r>
    <r>
      <rPr>
        <sz val="10"/>
        <color rgb="FF1A1D21"/>
        <rFont val="WenQuanYi Zen Hei"/>
        <family val="2"/>
      </rPr>
      <t xml:space="preserve">清掃 </t>
    </r>
    <r>
      <rPr>
        <sz val="10"/>
        <color rgb="FF1A1D21"/>
        <rFont val="Tahoma"/>
        <family val="0"/>
        <charset val="1"/>
      </rPr>
      <t xml:space="preserve">ทำความสะอาด) · I = Inspection (</t>
    </r>
    <r>
      <rPr>
        <sz val="10"/>
        <color rgb="FF1A1D21"/>
        <rFont val="WenQuanYi Zen Hei"/>
        <family val="2"/>
      </rPr>
      <t xml:space="preserve">点検 </t>
    </r>
    <r>
      <rPr>
        <sz val="10"/>
        <color rgb="FF1A1D21"/>
        <rFont val="Tahoma"/>
        <family val="0"/>
        <charset val="1"/>
      </rPr>
      <t xml:space="preserve">ตรวจ) · L = Lubrication (</t>
    </r>
    <r>
      <rPr>
        <sz val="10"/>
        <color rgb="FF1A1D21"/>
        <rFont val="WenQuanYi Zen Hei"/>
        <family val="2"/>
      </rPr>
      <t xml:space="preserve">給油 </t>
    </r>
    <r>
      <rPr>
        <sz val="10"/>
        <color rgb="FF1A1D21"/>
        <rFont val="Tahoma"/>
        <family val="0"/>
        <charset val="1"/>
      </rPr>
      <t xml:space="preserve">หล่อลื่น/เติมน้ำมัน) · T = Tightening (</t>
    </r>
    <r>
      <rPr>
        <sz val="10"/>
        <color rgb="FF1A1D21"/>
        <rFont val="WenQuanYi Zen Hei"/>
        <family val="2"/>
      </rPr>
      <t xml:space="preserve">増締め </t>
    </r>
    <r>
      <rPr>
        <sz val="10"/>
        <color rgb="FF1A1D21"/>
        <rFont val="Tahoma"/>
        <family val="0"/>
        <charset val="1"/>
      </rPr>
      <t xml:space="preserve">ขันแน่น) · A = Alignment/Adjust (</t>
    </r>
    <r>
      <rPr>
        <sz val="10"/>
        <color rgb="FF1A1D21"/>
        <rFont val="WenQuanYi Zen Hei"/>
        <family val="2"/>
      </rPr>
      <t xml:space="preserve">芯出し・調整 </t>
    </r>
    <r>
      <rPr>
        <sz val="10"/>
        <color rgb="FF1A1D21"/>
        <rFont val="Tahoma"/>
        <family val="0"/>
        <charset val="1"/>
      </rPr>
      <t xml:space="preserve">ตั้งศูนย์/ปรับ)</t>
    </r>
  </si>
  <si>
    <t xml:space="preserve">Risk level</t>
  </si>
  <si>
    <t xml:space="preserve">CRITICAL: S ≥ 9 หรือ (S ≥ 7 และ RPN ≥ 200) · HIGH: S ≥ 7 หรือ RPN ≥ 150 หรือ O ≥ 7 · MEDIUM: D ≥ 8 · LOW: อื่นๆ (RPN = S × O × D)</t>
  </si>
  <si>
    <t xml:space="preserve">ป้ายที่มา</t>
  </si>
  <si>
    <t xml:space="preserve">PDF p.x = ต้นฉบับ JIPM-Solutions · [INFER] = หลักวิศวกรรมทั่วไป · [AI-KB] = ความรู้นอกต้นฉบับ (ราคา/อุปกรณ์) · * = ข้อเสนอ · [DATA REQUIRED] = ค่าของเครื่อง (ช่องเหลือง)</t>
  </si>
  <si>
    <t xml:space="preserve">ความเชื่อมั่น</t>
  </si>
  <si>
    <t xml:space="preserve">Breakdown / Normal condition / CILT: HIGH (จาก PDF p.3–34) · FMEA S, D: MEDIUM · O และเวลา: LOW–MEDIUM ([INFER] ยังไม่มีประวัติเสียและเวลาจริง) · ราคา Kaizen: LOW ([AI-KB])</t>
  </si>
  <si>
    <t xml:space="preserve">สมมติฐาน</t>
  </si>
  <si>
    <t xml:space="preserve">[ASSUME] Hydraulic unit มาตรฐานตามวงจร p.4/p.6 (Vane pump · Balance-piston relief · Solenoid 4/3 · กระบอกสูบมี Cushion) — เหตุผล: ไม่มีคู่มือเครื่องจริงและ Spare Part List</t>
  </si>
  <si>
    <t xml:space="preserve">ใช้คู่กับ</t>
  </si>
  <si>
    <t xml:space="preserve">Know_My_Machine_Hydraulic_Unit.xlsx (สอนก่อน) · AM_Check_Sheet_Hydraulic_Unit.xlsx (D/W/P = เลขข้อในชีท Daily/Weekly/Periodic) · วิดีโอ EP01–EP21</t>
  </si>
  <si>
    <t xml:space="preserve">Step 1 · Function &amp; Breakdown Analysis — ระบบไฮดรอลิก</t>
  </si>
  <si>
    <t xml:space="preserve">System → Component/Part · Part No. ต้องใส่จาก Spare Part List ของเครื่องจริง · Module: M1 Bolt/Nut · M2 Lubrication · M3 Drive · M4 Hydraulics · M5 Pneumatics · M6 Electrical</t>
  </si>
  <si>
    <t xml:space="preserve">ID</t>
  </si>
  <si>
    <t xml:space="preserve">System</t>
  </si>
  <si>
    <t xml:space="preserve">Component / Part</t>
  </si>
  <si>
    <t xml:space="preserve">Part No.</t>
  </si>
  <si>
    <t xml:space="preserve">หน้าที่ (Function)</t>
  </si>
  <si>
    <t xml:space="preserve">สภาพปกติ (Normal condition + Spec)</t>
  </si>
  <si>
    <t xml:space="preserve">Module</t>
  </si>
  <si>
    <t xml:space="preserve">ที่มา</t>
  </si>
  <si>
    <t xml:space="preserve">① ถังน้ำมันและน้ำมัน (Oil tank &amp; oil)</t>
  </si>
  <si>
    <t xml:space="preserve">H01</t>
  </si>
  <si>
    <t xml:space="preserve">Oil tank body / ตัวถังน้ำมัน</t>
  </si>
  <si>
    <t xml:space="preserve">[DATA REQUIRED]</t>
  </si>
  <si>
    <t xml:space="preserve">เก็บน้ำมัน · ให้สิ่งสกปรกตกตะกอน · Baffle plate ไล่ฟองและระบายความร้อน</t>
  </si>
  <si>
    <t xml:space="preserve">ภายนอกสะอาด · ไม่มีรอยรั่ว</t>
  </si>
  <si>
    <t xml:space="preserve">M4</t>
  </si>
  <si>
    <t xml:space="preserve">PDF p.3, p.20–21</t>
  </si>
  <si>
    <t xml:space="preserve">H02</t>
  </si>
  <si>
    <t xml:space="preserve">Operating oil — ระดับ / น้ำมันไฮดรอลิก</t>
  </si>
  <si>
    <t xml:space="preserve">ตัวกลางส่งกำลัง</t>
  </si>
  <si>
    <t xml:space="preserve">ปั๊มหยุด: ถึงขีดบนของเกจระดับ</t>
  </si>
  <si>
    <t xml:space="preserve">PDF p.3, p.21</t>
  </si>
  <si>
    <t xml:space="preserve">H03</t>
  </si>
  <si>
    <t xml:space="preserve">Operating oil — สภาพ / ความสะอาดน้ำมัน</t>
  </si>
  <si>
    <t xml:space="preserve">หล่อลื่นชิ้นส่วนที่จุ่มในน้ำมัน (p.5)</t>
  </si>
  <si>
    <t xml:space="preserve">ใส ไม่มีสี · ความสกปรกตามเกณฑ์ [DATA REQUIRED]</t>
  </si>
  <si>
    <t xml:space="preserve">PDF p.5, p.17, p.21</t>
  </si>
  <si>
    <t xml:space="preserve">H04</t>
  </si>
  <si>
    <t xml:space="preserve">Thermometer + อุณหภูมิน้ำมัน</t>
  </si>
  <si>
    <t xml:space="preserve">แสดงอุณหภูมิน้ำมัน</t>
  </si>
  <si>
    <t xml:space="preserve">ปั๊มหยุด &lt; 55 °C · ช่วงเหมาะสม 30–46 °C · ปลอดภัย 46–55 °C</t>
  </si>
  <si>
    <t xml:space="preserve">PDF p.21, p.26</t>
  </si>
  <si>
    <t xml:space="preserve">H05</t>
  </si>
  <si>
    <t xml:space="preserve">Air breather / Air cleaner</t>
  </si>
  <si>
    <t xml:space="preserve">กันฝุ่นเข้าถัง · รักษาความดันบรรยากาศในถัง</t>
  </si>
  <si>
    <t xml:space="preserve">ไส้กรองไม่มีฝุ่น</t>
  </si>
  <si>
    <t xml:space="preserve">PDF p.21–22</t>
  </si>
  <si>
    <t xml:space="preserve">H06</t>
  </si>
  <si>
    <t xml:space="preserve">Suction filter / Strainer + Filter indicator</t>
  </si>
  <si>
    <t xml:space="preserve">กรองสิ่งสกปรกด้านดูดของปั๊ม</t>
  </si>
  <si>
    <t xml:space="preserve">Indicator เขียว · Vacuum meter ≤ 10 cmHg</t>
  </si>
  <si>
    <t xml:space="preserve">PDF p.14, p.23, p.26</t>
  </si>
  <si>
    <t xml:space="preserve">② ชุดปั๊ม (Pump unit)</t>
  </si>
  <si>
    <t xml:space="preserve">H07</t>
  </si>
  <si>
    <t xml:space="preserve">Vane pump (Rotor · Vane · Round ring)</t>
  </si>
  <si>
    <t xml:space="preserve">ดูดและส่งน้ำมัน ให้แรงดันแก่วงจร</t>
  </si>
  <si>
    <t xml:space="preserve">เริ่มเดิน: เงียบ · จ่ายน้ำมันปกติ</t>
  </si>
  <si>
    <t xml:space="preserve">PDF p.7, p.14, p.18</t>
  </si>
  <si>
    <t xml:space="preserve">H08</t>
  </si>
  <si>
    <t xml:space="preserve">Pump shaft seal</t>
  </si>
  <si>
    <t xml:space="preserve">กันอากาศเข้าและน้ำมันรั่วที่เพลาปั๊ม</t>
  </si>
  <si>
    <t xml:space="preserve">ไม่ดูดอากาศ · ไม่รั่ว</t>
  </si>
  <si>
    <t xml:space="preserve">PDF p.14</t>
  </si>
  <si>
    <t xml:space="preserve">H09</t>
  </si>
  <si>
    <t xml:space="preserve">Coupling (ปั๊ม–มอเตอร์)</t>
  </si>
  <si>
    <t xml:space="preserve">ส่งกำลังจากมอเตอร์ไปปั๊ม</t>
  </si>
  <si>
    <t xml:space="preserve">ไม่มีเสียง “กะตะ” · ไม่สั่น · จาระบีพอ</t>
  </si>
  <si>
    <t xml:space="preserve">M3</t>
  </si>
  <si>
    <t xml:space="preserve">PDF p.14, p.18</t>
  </si>
  <si>
    <t xml:space="preserve">H10</t>
  </si>
  <si>
    <t xml:space="preserve">Electric motor</t>
  </si>
  <si>
    <t xml:space="preserve">ขับปั๊ม</t>
  </si>
  <si>
    <t xml:space="preserve">ไม่สั่น ไม่ร้อนผิดปกติ</t>
  </si>
  <si>
    <t xml:space="preserve">M6</t>
  </si>
  <si>
    <t xml:space="preserve">PDF p.4, p.19</t>
  </si>
  <si>
    <t xml:space="preserve">H11</t>
  </si>
  <si>
    <t xml:space="preserve">Pump cover bolts / โบลต์ฝาปั๊ม</t>
  </si>
  <si>
    <t xml:space="preserve">ยึดฝาหน้า-หลังปั๊ม</t>
  </si>
  <si>
    <t xml:space="preserve">ขันตาม Torque คู่มือผู้ผลิต [DATA REQUIRED]</t>
  </si>
  <si>
    <t xml:space="preserve">M1</t>
  </si>
  <si>
    <t xml:space="preserve">③ วาล์วควบคุม (Control valves)</t>
  </si>
  <si>
    <t xml:space="preserve">H12</t>
  </si>
  <si>
    <t xml:space="preserve">Relief valve — Handle + Lock nut</t>
  </si>
  <si>
    <t xml:space="preserve">ตั้งค่าแรงดัน · Lock nut กันค่าตั้งเปลี่ยน</t>
  </si>
  <si>
    <t xml:space="preserve">Lock nut แน่น · แรงดันนิ่งที่ค่าตั้ง [DATA REQUIRED]</t>
  </si>
  <si>
    <t xml:space="preserve">PDF p.8, p.17, p.27–28</t>
  </si>
  <si>
    <t xml:space="preserve">H13</t>
  </si>
  <si>
    <t xml:space="preserve">Relief valve — Poppet · Seat · Spring · Balance piston</t>
  </si>
  <si>
    <t xml:space="preserve">ระบายน้ำมันส่วนเกินกลับถัง รักษาแรงดันคงที่</t>
  </si>
  <si>
    <t xml:space="preserve">แรงดันนิ่ง · ไม่มีเสียงแหลม</t>
  </si>
  <si>
    <t xml:space="preserve">PDF p.8, p.15, p.27</t>
  </si>
  <si>
    <t xml:space="preserve">H14</t>
  </si>
  <si>
    <t xml:space="preserve">Pressure gauge (Bourdon tube)</t>
  </si>
  <si>
    <t xml:space="preserve">แสดงแรงดันวงจร</t>
  </si>
  <si>
    <t xml:space="preserve">ขณะเดิน: ที่ค่าตั้ง แกว่ง ≤ ±3 kgf/cm² · หยุด: ชี้ 0</t>
  </si>
  <si>
    <t xml:space="preserve">PDF p.19–20, p.24–26</t>
  </si>
  <si>
    <t xml:space="preserve">H15</t>
  </si>
  <si>
    <t xml:space="preserve">Solenoid valve — Coil</t>
  </si>
  <si>
    <t xml:space="preserve">ดูด Plunger เลื่อน Spool</t>
  </si>
  <si>
    <t xml:space="preserve">ไม่มีเสียงคราง “บูน” ขณะ ON · สายไฟไม่ชำรุด</t>
  </si>
  <si>
    <t xml:space="preserve">PDF p.16, p.18, p.30</t>
  </si>
  <si>
    <t xml:space="preserve">H16</t>
  </si>
  <si>
    <t xml:space="preserve">Solenoid valve — Spool · Centering spring</t>
  </si>
  <si>
    <t xml:space="preserve">เปลี่ยนทิศทางน้ำมัน</t>
  </si>
  <si>
    <t xml:space="preserve">สลับราบรื่น</t>
  </si>
  <si>
    <t xml:space="preserve">PDF p.16, p.29</t>
  </si>
  <si>
    <t xml:space="preserve">H17</t>
  </si>
  <si>
    <t xml:space="preserve">Solenoid valve — Body · Mounting bolts · Wiring</t>
  </si>
  <si>
    <t xml:space="preserve">ยึดวาล์วและต่อไฟ</t>
  </si>
  <si>
    <t xml:space="preserve">ไม่รั่วที่ตัว/ฐาน · โบลต์ไม่หลวม · สายไม่ชำรุด</t>
  </si>
  <si>
    <t xml:space="preserve">PDF p.30</t>
  </si>
  <si>
    <t xml:space="preserve">H18</t>
  </si>
  <si>
    <t xml:space="preserve">Flow adjustment valve (w/ check valve)</t>
  </si>
  <si>
    <t xml:space="preserve">ปรับความเร็วงาน</t>
  </si>
  <si>
    <t xml:space="preserve">เวลาต่อรอบเท่าค่าปกติ [DATA REQUIRED]</t>
  </si>
  <si>
    <t xml:space="preserve">PDF p.4–6, p.19</t>
  </si>
  <si>
    <t xml:space="preserve">④ กระบอกสูบ (Actuator)</t>
  </si>
  <si>
    <t xml:space="preserve">H19</t>
  </si>
  <si>
    <t xml:space="preserve">Cylinder rod / ก้านสูบ</t>
  </si>
  <si>
    <t xml:space="preserve">ส่งแรงจาก Piston ไปกลไก</t>
  </si>
  <si>
    <t xml:space="preserve">เงาเหมือนกระจก ไม่มีรอย · ไม่มีสิ่งสกปรกเกาะ</t>
  </si>
  <si>
    <t xml:space="preserve">PDF p.20, p.31</t>
  </si>
  <si>
    <t xml:space="preserve">H20</t>
  </si>
  <si>
    <t xml:space="preserve">Dust seal · Rod packing · U packing</t>
  </si>
  <si>
    <t xml:space="preserve">กันฝุ่นและกันรั่ว</t>
  </si>
  <si>
    <t xml:space="preserve">ไม่ฉีก ไม่สึก · ไม่รั่ว</t>
  </si>
  <si>
    <t xml:space="preserve">PDF p.10, p.31</t>
  </si>
  <si>
    <t xml:space="preserve">H21</t>
  </si>
  <si>
    <t xml:space="preserve">Cylinder bolts / nuts</t>
  </si>
  <si>
    <t xml:space="preserve">ยึดกระบอกสูบ</t>
  </si>
  <si>
    <t xml:space="preserve">ไม่หลวม</t>
  </si>
  <si>
    <t xml:space="preserve">PDF p.31</t>
  </si>
  <si>
    <t xml:space="preserve">H22</t>
  </si>
  <si>
    <t xml:space="preserve">Cushion valve + Lock nut</t>
  </si>
  <si>
    <t xml:space="preserve">ปรับการชะลอปลายจังหวะ</t>
  </si>
  <si>
    <t xml:space="preserve">ไม่มีแรงกระแทกปลายจังหวะ</t>
  </si>
  <si>
    <t xml:space="preserve">PDF p.11</t>
  </si>
  <si>
    <t xml:space="preserve">⑤ ท่อ · สาย · ซีล (Piping)</t>
  </si>
  <si>
    <t xml:space="preserve">H23</t>
  </si>
  <si>
    <t xml:space="preserve">High-pressure hose</t>
  </si>
  <si>
    <t xml:space="preserve">ส่งน้ำมันแรงดันสูงไปอุปกรณ์ที่เคลื่อนที่</t>
  </si>
  <si>
    <t xml:space="preserve">ไม่บิด · หย่อนเล็กน้อย · ไม่งอชิดข้อต่อ · ไม่บวม · ลวดไม่ขาด</t>
  </si>
  <si>
    <t xml:space="preserve">PDF p.33–34</t>
  </si>
  <si>
    <t xml:space="preserve">H24</t>
  </si>
  <si>
    <t xml:space="preserve">Lock clamp · Band (ยึดสาย)</t>
  </si>
  <si>
    <t xml:space="preserve">ยึดสาย · กันสายเสียดสีกันและกับส่วนเคลื่อนไหว</t>
  </si>
  <si>
    <t xml:space="preserve">แน่น ไม่คลอน · สายไม่สัมผัสส่วนเคลื่อนไหว</t>
  </si>
  <si>
    <t xml:space="preserve">H25</t>
  </si>
  <si>
    <t xml:space="preserve">Pipe joints · O-ring / ข้อต่อท่อ</t>
  </si>
  <si>
    <t xml:space="preserve">ต่อท่อ · O-ring กันรั่ว</t>
  </si>
  <si>
    <t xml:space="preserve">ไม่รั่ว · O-ring วัสดุ/ขนาดถูก (1A/1B สำหรับน้ำมันแร่) · ขันตาม Torque</t>
  </si>
  <si>
    <t xml:space="preserve">PDF p.12, p.17, p.32</t>
  </si>
  <si>
    <t xml:space="preserve">Step 2 · FMEA Risk Assessment (AIAG 4th) + Step 3A Critical selection — ระบบไฮดรอลิก</t>
  </si>
  <si>
    <t xml:space="preserve">BD = Breakdown · DF = Defect · MS = Minor stop/ความสูญเสีย · SF = Safety · RPN, Risk level และคอลัมน์สุดท้ายเป็นสูตร — แก้ S/O/D แล้วจัดลำดับใหม่ทันที · O ยังไม่มีประวัติเสีย [INFER]</t>
  </si>
  <si>
    <t xml:space="preserve">Part</t>
  </si>
  <si>
    <t xml:space="preserve">Failure mode</t>
  </si>
  <si>
    <t xml:space="preserve">Failure effect (BD/DF/MS/SF)</t>
  </si>
  <si>
    <t xml:space="preserve">Failure cause (CILT gap)</t>
  </si>
  <si>
    <t xml:space="preserve">Stress / Strength</t>
  </si>
  <si>
    <t xml:space="preserve">S</t>
  </si>
  <si>
    <t xml:space="preserve">เหตุผล S</t>
  </si>
  <si>
    <t xml:space="preserve">O</t>
  </si>
  <si>
    <t xml:space="preserve">เหตุผล O</t>
  </si>
  <si>
    <t xml:space="preserve">D</t>
  </si>
  <si>
    <t xml:space="preserve">เหตุผล D</t>
  </si>
  <si>
    <t xml:space="preserve">RPN</t>
  </si>
  <si>
    <t xml:space="preserve">อยู่ใน AM Standard</t>
  </si>
  <si>
    <t xml:space="preserve">รั่ว · ภายนอกสกปรกจนไม่เห็นรอยรั่ว</t>
  </si>
  <si>
    <t xml:space="preserve">MS: สูญเสียน้ำมัน (1 หยด/10 วินาที = 151 L/ปี) · SOC</t>
  </si>
  <si>
    <t xml:space="preserve">ขาด C (ไม่ทำความสะอาด) + ขาด I</t>
  </si>
  <si>
    <t xml:space="preserve">Strength ลด (รอยต่อ/ซีลเสื่อม)</t>
  </si>
  <si>
    <t xml:space="preserve">S6 = สูญเสียหน้าที่รอง — เติมน้ำมัน ไม่หยุดเครื่องทันที</t>
  </si>
  <si>
    <t xml:space="preserve">O5 [INFER] ต้นฉบับ: รั่วเป็นความผิดปกติที่พบบ่อย (p.17)</t>
  </si>
  <si>
    <t xml:space="preserve">D7 = Operator ตรวจในสถานี (ตา/หู/สัมผัส) หลังเช็ด</t>
  </si>
  <si>
    <t xml:space="preserve">ระดับต่ำ</t>
  </si>
  <si>
    <t xml:space="preserve">BD: ปั๊มดูดอากาศ เสียงดัง แรงดันไม่พอ (p.14)</t>
  </si>
  <si>
    <t xml:space="preserve">ขาด I (ไม่ดูระดับ) + รั่วไม่ได้แก้</t>
  </si>
  <si>
    <t xml:space="preserve">Stress เพิ่ม (Aeration / Cavitation)</t>
  </si>
  <si>
    <t xml:space="preserve">S8 = สูญเสียหน้าที่หลัก (BD)</t>
  </si>
  <si>
    <t xml:space="preserve">O5 [INFER] ต้นฉบับ: ระดับไม่พอเป็นสาเหตุหลักที่พบ (p.17)</t>
  </si>
  <si>
    <t xml:space="preserve">D7 = Operator ตรวจในสถานี (ตา/หู/สัมผัส) (เกจระดับ)</t>
  </si>
  <si>
    <t xml:space="preserve">เสื่อม (น้ำตาล → ดำ) · สกปรก</t>
  </si>
  <si>
    <t xml:space="preserve">DF: Poppet/Spool สกปรกติด แรงดันไม่นิ่ง (p.15–16)</t>
  </si>
  <si>
    <t xml:space="preserve">ขาด C (สิ่งสกปรกเข้า) + ขาด I (ไม่ดูสี)</t>
  </si>
  <si>
    <t xml:space="preserve">Stress เพิ่ม (สิ่งแปลกปลอม)</t>
  </si>
  <si>
    <t xml:space="preserve">S7 = หน้าที่หลักลดลง</t>
  </si>
  <si>
    <t xml:space="preserve">O5 [INFER]</t>
  </si>
  <si>
    <t xml:space="preserve">D8 = ตรวจได้ยาก ต้องถอด/มองไม่เห็น — สีดูได้ แต่ความสกปรกต้องวัด (Regular check)</t>
  </si>
  <si>
    <t xml:space="preserve">ร้อนเกิน (&gt; 55–65 °C)</t>
  </si>
  <si>
    <t xml:space="preserve">DF: ความหนืดลด หล่อลื่นไม่ดี รั่ว · น้ำมันเสื่อมเร็ว (p.26)</t>
  </si>
  <si>
    <t xml:space="preserve">ไม่ใช้งานตามเงื่อนไข + ขาด C ที่ถัง/Cooler [INFER]</t>
  </si>
  <si>
    <t xml:space="preserve">Stress เพิ่ม (ความร้อน)</t>
  </si>
  <si>
    <t xml:space="preserve">D5 = เครื่องมือวัดในสถานี (เทอร์โมมิเตอร์)</t>
  </si>
  <si>
    <t xml:space="preserve">ไส้กรองสกปรก / ตัน</t>
  </si>
  <si>
    <t xml:space="preserve">DF: ฝุ่นเข้าน้ำมัน · ตัน → ปั๊มเสียงดัง (p.14)</t>
  </si>
  <si>
    <t xml:space="preserve">ขาด C</t>
  </si>
  <si>
    <t xml:space="preserve">Stress เพิ่ม (ฝุ่น)</t>
  </si>
  <si>
    <t xml:space="preserve">S6 = สูญเสียหน้าที่รอง</t>
  </si>
  <si>
    <t xml:space="preserve">O6 [INFER] ขึ้นกับฝุ่นในพื้นที่</t>
  </si>
  <si>
    <t xml:space="preserve">D7 = Operator ตรวจในสถานี (ตา/หู/สัมผัส)</t>
  </si>
  <si>
    <t xml:space="preserve">ตัน</t>
  </si>
  <si>
    <t xml:space="preserve">BD: Cavitation เสียงดัง แรงดัน/อัตราไหลไม่พอ (p.14)</t>
  </si>
  <si>
    <t xml:space="preserve">ขาด C + ขาด I</t>
  </si>
  <si>
    <t xml:space="preserve">Stress เพิ่ม (แรงดูด)</t>
  </si>
  <si>
    <t xml:space="preserve">D6 = ตรวจด้วยเครื่องมือวัด (เกจ/นาฬิกา) (Indicator / Vacuum meter)</t>
  </si>
  <si>
    <t xml:space="preserve">ชิ้นส่วนในปั๊มสึก</t>
  </si>
  <si>
    <t xml:space="preserve">BD: แรงดัน/อัตราไหลไม่พอ (p.14)</t>
  </si>
  <si>
    <t xml:space="preserve">ขาด I (ไม่ฟังเสียง) + Cavitation/ความหนืดไม่เหมาะ</t>
  </si>
  <si>
    <t xml:space="preserve">Strength ลด (สึก) + Stress เพิ่ม</t>
  </si>
  <si>
    <t xml:space="preserve">O4 [INFER] สึกช้า</t>
  </si>
  <si>
    <t xml:space="preserve">D7 = Operator ตรวจในสถานี (ตา/หู/สัมผัส) (เสียง/เกจ)</t>
  </si>
  <si>
    <t xml:space="preserve">สึก → ดูดอากาศ</t>
  </si>
  <si>
    <t xml:space="preserve">BD: Aeration เสียงดัง แรงดันไม่พอ (p.14)</t>
  </si>
  <si>
    <t xml:space="preserve">ขาด I</t>
  </si>
  <si>
    <t xml:space="preserve">Strength ลด</t>
  </si>
  <si>
    <t xml:space="preserve">O4 [INFER]</t>
  </si>
  <si>
    <t xml:space="preserve">D8 = ตรวจได้ยาก ต้องถอด/มองไม่เห็น — รู้จากเสียงเท่านั้น</t>
  </si>
  <si>
    <t xml:space="preserve">เยื้องศูนย์ · Key สึก · จาระบีเสื่อม</t>
  </si>
  <si>
    <t xml:space="preserve">BD: เสียง/สั่น ชิ้นส่วนสึก (p.14, p.18)</t>
  </si>
  <si>
    <t xml:space="preserve">ขาด A (Alignment) + ขาด L</t>
  </si>
  <si>
    <t xml:space="preserve">Stress เพิ่ม (Misalignment)</t>
  </si>
  <si>
    <t xml:space="preserve">D7 = Operator ตรวจในสถานี (ตา/หู/สัมผัส) (เสียง)</t>
  </si>
  <si>
    <t xml:space="preserve">ร้อน / สั่นผิดปกติ</t>
  </si>
  <si>
    <t xml:space="preserve">BD [INFER]</t>
  </si>
  <si>
    <t xml:space="preserve">ขาด C + ขาด I [INFER]</t>
  </si>
  <si>
    <t xml:space="preserve">O3 [INFER]</t>
  </si>
  <si>
    <t xml:space="preserve">D7 = Operator ตรวจในสถานี (ตา/หู/สัมผัส) (สัมผัส)</t>
  </si>
  <si>
    <t xml:space="preserve">ขันแน่นเกิน Torque</t>
  </si>
  <si>
    <t xml:space="preserve">BD: แรงเสียดทาน → ร้อนผิดปกติ (p.14)</t>
  </si>
  <si>
    <t xml:space="preserve">ซ่อมผิดวิธี (T ผิดค่า)</t>
  </si>
  <si>
    <t xml:space="preserve">Stress เพิ่ม (แรงเสียดทาน)</t>
  </si>
  <si>
    <t xml:space="preserve">O3 [INFER] เกิดหลังงานซ่อม</t>
  </si>
  <si>
    <t xml:space="preserve">D8 = ตรวจได้ยาก ต้องถอด/มองไม่เห็น</t>
  </si>
  <si>
    <t xml:space="preserve">Lock nut หลวม → ค่าตั้งเปลี่ยน</t>
  </si>
  <si>
    <t xml:space="preserve">BD/DF: แรงดันผิด · การป้องกันโหลดเกินไม่ตรงค่า</t>
  </si>
  <si>
    <t xml:space="preserve">ขาด T + ขาด I</t>
  </si>
  <si>
    <t xml:space="preserve">Strength ลด (คลายจากแรงสั่น)</t>
  </si>
  <si>
    <t xml:space="preserve">S8 = สูญเสียหน้าที่หลัก (BD) — ต้องหยุดปรับ</t>
  </si>
  <si>
    <t xml:space="preserve">O6 ต้นฉบับ: เป็นสาเหตุหลักของความผิดปกติ (p.17)</t>
  </si>
  <si>
    <t xml:space="preserve">D7 = Operator ตรวจในสถานี (ตา/หู/สัมผัส) (เกจ)</t>
  </si>
  <si>
    <t xml:space="preserve">สึก · สกปรก · Choke hole ตัน · สปริงเสีย</t>
  </si>
  <si>
    <t xml:space="preserve">DF: แรงดันไม่พอ/ไม่นิ่ง · สั่นเสียงแหลม (p.15)</t>
  </si>
  <si>
    <t xml:space="preserve">ขาด C (น้ำมันสกปรก) + อากาศปนในน้ำมัน</t>
  </si>
  <si>
    <t xml:space="preserve">D6 = ตรวจด้วยเครื่องมือวัด (เกจ/นาฬิกา)</t>
  </si>
  <si>
    <t xml:space="preserve">ค่าเพี้ยน · เข็มต่ำกว่า 0 · กระจกแตก</t>
  </si>
  <si>
    <t xml:space="preserve">DF: อ่านค่าผิด ไม่เห็นความผิดปกติของ Relief/ปั๊ม</t>
  </si>
  <si>
    <t xml:space="preserve">S6 = สูญเสียหน้าที่รอง (การเฝ้าดู)</t>
  </si>
  <si>
    <t xml:space="preserve">D7 = Operator ตรวจในสถานี (ตา/หู/สัมผัส) (ตรวจ 0 หลังเลิกงาน)</t>
  </si>
  <si>
    <t xml:space="preserve">Coil ไหม้</t>
  </si>
  <si>
    <t xml:space="preserve">BD: วาล์วไม่สลับ เครื่องหยุด</t>
  </si>
  <si>
    <t xml:space="preserve">ไม่ใช้งานตามเงื่อนไข (แรงดันไฟเกิน สลับบ่อย ต่อสาย 50/60 Hz ผิด) + Spool ติด</t>
  </si>
  <si>
    <t xml:space="preserve">Stress เพิ่ม (กระแสค้าง)</t>
  </si>
  <si>
    <t xml:space="preserve">D7 = Operator ตรวจในสถานี (ตา/หู/สัมผัส) (เสียงคราง)</t>
  </si>
  <si>
    <t xml:space="preserve">Spool ติด · สปริงหัก · Back pressure ที่ Tank port เกิน</t>
  </si>
  <si>
    <t xml:space="preserve">BD: Actuator ทำงานผิด/ไม่ทำงาน [INFER]</t>
  </si>
  <si>
    <t xml:space="preserve">ขาด C (น้ำมันสกปรก)</t>
  </si>
  <si>
    <t xml:space="preserve">D8 = ตรวจได้ยาก ต้องถอด/มองไม่เห็น (ภายใน)</t>
  </si>
  <si>
    <t xml:space="preserve">โบลต์หลวม · รั่วที่ฐาน · สายไฟชำรุด</t>
  </si>
  <si>
    <t xml:space="preserve">MS: รั่ว · BD: ไฟไม่เข้า</t>
  </si>
  <si>
    <t xml:space="preserve">ขาด T + ขาด C (ไม่เช็ด) + ขาด I</t>
  </si>
  <si>
    <t xml:space="preserve">D7 = Operator ตรวจในสถานี (ตา/หู/สัมผัส) (เช็ดก่อน)</t>
  </si>
  <si>
    <t xml:space="preserve">ความเร็วเปลี่ยน</t>
  </si>
  <si>
    <t xml:space="preserve">DF: เวลารอบผิด · ความเร็วเปลี่ยนตามอุณหภูมิน้ำมัน (p.5)</t>
  </si>
  <si>
    <t xml:space="preserve">ไม่ใช้งานตามเงื่อนไข (อุณหภูมิ/ความหนืด)</t>
  </si>
  <si>
    <t xml:space="preserve">Stress เพิ่ม</t>
  </si>
  <si>
    <t xml:space="preserve">S6 = สูญเสียหน้าที่รอง (ความเร็ว)</t>
  </si>
  <si>
    <t xml:space="preserve">D6 = ตรวจด้วยเครื่องมือวัด (เกจ/นาฬิกา) (นาฬิกาจับเวลา)</t>
  </si>
  <si>
    <t xml:space="preserve">รอยขีดข่วน</t>
  </si>
  <si>
    <t xml:space="preserve">MS: Packing/Dust seal เสียหาย → รั่ว</t>
  </si>
  <si>
    <t xml:space="preserve">ขาด C (สิ่งสกปรกเกาะส่วนเลื่อน)</t>
  </si>
  <si>
    <t xml:space="preserve">ฉีก / สึก → รั่ว</t>
  </si>
  <si>
    <t xml:space="preserve">MS/DF: รั่ว · ความเร็ว/แรงไม่ได้ (รั่วภายใน p.10)</t>
  </si>
  <si>
    <t xml:space="preserve">หลวม</t>
  </si>
  <si>
    <t xml:space="preserve">BD/MS: รั่ว · ตำแหน่งเคลื่อน [INFER]</t>
  </si>
  <si>
    <t xml:space="preserve">ขาด T</t>
  </si>
  <si>
    <t xml:space="preserve">ปรับผิด / สับสนกับ Check valve blank</t>
  </si>
  <si>
    <t xml:space="preserve">BD: แรงกระแทกทำลายท่อและวาล์ว (p.11)</t>
  </si>
  <si>
    <t xml:space="preserve">ใช้งาน/ซ่อมผิดวิธี (ทักษะ)</t>
  </si>
  <si>
    <t xml:space="preserve">Stress เพิ่ม (Shock)</t>
  </si>
  <si>
    <t xml:space="preserve">O3 [INFER] เกิดหลังการปรับ</t>
  </si>
  <si>
    <t xml:space="preserve">D7 = Operator ตรวจในสถานี (ตา/หู/สัมผัส) (เสียงกระแทก)</t>
  </si>
  <si>
    <t xml:space="preserve">บวม (มักภายใน 500 mm จากข้อต่อ) · ลวดเสริมขาด · งอชิดข้อต่อ → แตก</t>
  </si>
  <si>
    <t xml:space="preserve">SF: น้ำมันแรงดันสูงพุ่ง [INFER] · BD</t>
  </si>
  <si>
    <t xml:space="preserve">ขาด I + ติดตั้งผิดวิธี</t>
  </si>
  <si>
    <t xml:space="preserve">S9 = อันตราย มีสัญญาณเตือน (บวม/ลวดขาด)</t>
  </si>
  <si>
    <t xml:space="preserve">หลวม · สกรูหาย · สายเสียดสี</t>
  </si>
  <si>
    <t xml:space="preserve">MS → SF: สายสึกจนแตก</t>
  </si>
  <si>
    <t xml:space="preserve">Stress เพิ่ม (เสียดสี/สั่น)</t>
  </si>
  <si>
    <t xml:space="preserve">รั่ว (ท่อหลวม · O-ring ผิดขนาด/เสื่อม)</t>
  </si>
  <si>
    <t xml:space="preserve">MS: สูญเสียน้ำมัน 151 L/ปี/จุด · SOC · พื้นลื่น</t>
  </si>
  <si>
    <t xml:space="preserve">ขาด T + ซ่อมผิดวิธี (O-ring ผิดขนาด · ขันเกิน Torque)</t>
  </si>
  <si>
    <t xml:space="preserve">O6 ต้นฉบับ: รั่วจากท่อหลวมพบบ่อย (p.17)</t>
  </si>
  <si>
    <t xml:space="preserve">CRITICAL</t>
  </si>
  <si>
    <t xml:space="preserve">HIGH</t>
  </si>
  <si>
    <t xml:space="preserve">MEDIUM</t>
  </si>
  <si>
    <t xml:space="preserve">LOW</t>
  </si>
  <si>
    <t xml:space="preserve">ไม่อยู่ใน Standard</t>
  </si>
  <si>
    <t xml:space="preserve">Step 4 · AM Standard (CILT) — ระบบไฮดรอลิก</t>
  </si>
  <si>
    <t xml:space="preserve">เวลา = ประมาณการ [INFER] ให้จับเวลาจริง · Risk level ดึงจากชีท FMEA ด้วยสูตร · D = ทุกวัน · W = รายสัปดาห์ · 3M / 6M / 1Y = ตามรอบ · ข้อใน AM Check Sheet: D = Daily_Check · W = Weekly_Check · P = Periodic_Check</t>
  </si>
  <si>
    <t xml:space="preserve">No.</t>
  </si>
  <si>
    <t xml:space="preserve">Part ID</t>
  </si>
  <si>
    <t xml:space="preserve">ระบบ / จุดตรวจ (Check point)</t>
  </si>
  <si>
    <t xml:space="preserve">วิธีทำ (1-2-3)</t>
  </si>
  <si>
    <t xml:space="preserve">✓ ปกติ (Normal)</t>
  </si>
  <si>
    <t xml:space="preserve">✗ ผิดปกติ → ทำอะไร</t>
  </si>
  <si>
    <t xml:space="preserve">ความถี่</t>
  </si>
  <si>
    <t xml:space="preserve">เวลา (นาที)</t>
  </si>
  <si>
    <t xml:space="preserve">Kaizen / Visual control</t>
  </si>
  <si>
    <t xml:space="preserve">ผลถ้าละเลย (Neglect)</t>
  </si>
  <si>
    <t xml:space="preserve">ผู้รับผิดชอบ</t>
  </si>
  <si>
    <t xml:space="preserve">ข้อใน AM Check Sheet</t>
  </si>
  <si>
    <t xml:space="preserve">ภายนอก Hydraulic unit · ถัง · พื้นรอบเครื่อง</t>
  </si>
  <si>
    <t xml:space="preserve">C</t>
  </si>
  <si>
    <t xml:space="preserve">1. หยุดปั๊ม
2. เช็ดถัง ท่อ ข้อต่อ ด้วยผ้าแห้ง
3. ดูคราบ/หยดน้ำมันหลังเช็ด และพื้นรอบเครื่อง</t>
  </si>
  <si>
    <t xml:space="preserve">สะอาด · ไม่มีคราบ/หยดใหม่</t>
  </si>
  <si>
    <t xml:space="preserve">มีคราบ/หยด → ติด F-tag + แจ้งช่าง * · หาจุดรั่วด้านบน</t>
  </si>
  <si>
    <t xml:space="preserve">D · หลังเลิกงาน</t>
  </si>
  <si>
    <t xml:space="preserve">แผ่นซับสีขาวใต้จุดเสี่ยงรั่ว → เห็นหยดทันที *</t>
  </si>
  <si>
    <t xml:space="preserve">สกปรกจนไม่เห็นรอยรั่ว → สูญเสียน้ำมัน 151 L/ปี/จุด</t>
  </si>
  <si>
    <t xml:space="preserve">Operator</t>
  </si>
  <si>
    <t xml:space="preserve">D11, D12, D13</t>
  </si>
  <si>
    <t xml:space="preserve">PDF p.13, p.17, p.20</t>
  </si>
  <si>
    <t xml:space="preserve">ระดับน้ำมันในถัง</t>
  </si>
  <si>
    <t xml:space="preserve">I/L</t>
  </si>
  <si>
    <t xml:space="preserve">1. หยุดปั๊ม
2. อ่านเกจระดับ
3. ต่ำกว่าขีด → เติมด้วยน้ำมันชนิดเดียวกันถึงขีดบน</t>
  </si>
  <si>
    <t xml:space="preserve">ถึงขีดบน (ปั๊มหยุด)</t>
  </si>
  <si>
    <t xml:space="preserve">ต่ำกว่าขีด → เติม · ลดเร็ว → หาจุดรั่ว แจ้งช่าง *</t>
  </si>
  <si>
    <t xml:space="preserve">แถบสีเขียวช่วงปกติที่เกจระดับ *</t>
  </si>
  <si>
    <t xml:space="preserve">ปั๊มดูดอากาศ เสียงดัง แรงดันไม่พอ</t>
  </si>
  <si>
    <t xml:space="preserve">D15</t>
  </si>
  <si>
    <t xml:space="preserve">PDF p.14, p.21</t>
  </si>
  <si>
    <t xml:space="preserve">สีน้ำมัน (ดูที่เกจระดับ)</t>
  </si>
  <si>
    <t xml:space="preserve">I</t>
  </si>
  <si>
    <t xml:space="preserve">1. ดูสีน้ำมันที่เกจระดับ
2. เทียบกับตัวอย่างสี</t>
  </si>
  <si>
    <t xml:space="preserve">ใส ไม่มีสี</t>
  </si>
  <si>
    <t xml:space="preserve">น้ำตาล → △ แจ้งหัวหน้างาน * · ดำ → แจ้งช่าง *</t>
  </si>
  <si>
    <t xml:space="preserve">ป้ายตัวอย่างสี ใส/น้ำตาล/ดำ ติดข้างเกจ *</t>
  </si>
  <si>
    <t xml:space="preserve">น้ำมันเสื่อม → Poppet/Spool สกปรกติด แรงดันไม่นิ่ง</t>
  </si>
  <si>
    <t xml:space="preserve">D16</t>
  </si>
  <si>
    <t xml:space="preserve">PDF p.15, p.21</t>
  </si>
  <si>
    <t xml:space="preserve">อุณหภูมิน้ำมัน</t>
  </si>
  <si>
    <t xml:space="preserve">1. หยุดปั๊ม
2. อ่านเทอร์โมมิเตอร์ หรือวางฝ่ามือบนถัง/ท่อ
3. บันทึกค่า</t>
  </si>
  <si>
    <t xml:space="preserve">&lt; 55 °C · วางมือได้ ≥ 3–4 วินาที</t>
  </si>
  <si>
    <t xml:space="preserve">ร้อนเกิน → แจ้งช่างซ่อมบำรุง</t>
  </si>
  <si>
    <t xml:space="preserve">แถบเขียว/แดงบนเทอร์โมมิเตอร์ (p.26) · Thermo-label บนถัง *</t>
  </si>
  <si>
    <t xml:space="preserve">ความหนืดลด หล่อลื่นไม่ดี รั่ว · น้ำมันอายุสั้น</t>
  </si>
  <si>
    <t xml:space="preserve">D18</t>
  </si>
  <si>
    <t xml:space="preserve">Air breather</t>
  </si>
  <si>
    <t xml:space="preserve">1. ดูฝุ่นที่ไส้กรอง
2. สกปรก → ล้างด้วยน้ำมันก๊าด หรือเปลี่ยน (ตามวัสดุไส้กรอง)</t>
  </si>
  <si>
    <t xml:space="preserve">ตัน/สกปรก → ทำความสะอาด หรือเปลี่ยน</t>
  </si>
  <si>
    <t xml:space="preserve">W *</t>
  </si>
  <si>
    <t xml:space="preserve">พื้นที่ฝุ่นมาก → แบบ Oil bath (p.22)</t>
  </si>
  <si>
    <t xml:space="preserve">ฝุ่นเข้าน้ำมัน · ตัน → ปั๊มเสียงดัง</t>
  </si>
  <si>
    <t xml:space="preserve">D17</t>
  </si>
  <si>
    <t xml:space="preserve">PDF p.14, p.21–22</t>
  </si>
  <si>
    <t xml:space="preserve">Filter indicator (ตอนเริ่มเดิน)</t>
  </si>
  <si>
    <t xml:space="preserve">1. เริ่มเดินปั๊ม
2. ดูสี Indicator</t>
  </si>
  <si>
    <t xml:space="preserve">สีเขียว</t>
  </si>
  <si>
    <t xml:space="preserve">เหลือง/แดง → ทำความสะอาด Filter (แจ้งช่าง *)</t>
  </si>
  <si>
    <t xml:space="preserve">D · เริ่มเดิน</t>
  </si>
  <si>
    <t xml:space="preserve">ป้ายสีเขียว/เหลือง/แดงข้าง Indicator *</t>
  </si>
  <si>
    <t xml:space="preserve">Filter ตัน → Cavitation แรงดันไม่พอ</t>
  </si>
  <si>
    <t xml:space="preserve">D3</t>
  </si>
  <si>
    <t xml:space="preserve">PDF p.18, p.26</t>
  </si>
  <si>
    <t xml:space="preserve">Filter: Vacuum meter / Indicator</t>
  </si>
  <si>
    <t xml:space="preserve">1. อ่าน Vacuum meter หรือสี Indicator
2. บันทึกค่า</t>
  </si>
  <si>
    <t xml:space="preserve">≤ 10 cmHg · Indicator เขียว</t>
  </si>
  <si>
    <t xml:space="preserve">&gt; 10 cmHg หรือเหลือง/แดง → ทำความสะอาด Filter</t>
  </si>
  <si>
    <t xml:space="preserve">6M</t>
  </si>
  <si>
    <t xml:space="preserve">—</t>
  </si>
  <si>
    <t xml:space="preserve">Filter ตัน → ปั๊มเสียหาย</t>
  </si>
  <si>
    <t xml:space="preserve">Operator / PM *</t>
  </si>
  <si>
    <t xml:space="preserve">P1, P2</t>
  </si>
  <si>
    <t xml:space="preserve">PDF p.26</t>
  </si>
  <si>
    <t xml:space="preserve">เสียงปั๊มตอนเริ่มเดิน</t>
  </si>
  <si>
    <t xml:space="preserve">1. เปิดปั๊ม
2. ฟังเสียง 20 วินาทีแรก เทียบตารางเสียง (p.18)
3. ดูเกจว่าแรงดันขึ้น</t>
  </si>
  <si>
    <t xml:space="preserve">เงียบ · จ่ายน้ำมันปกติ</t>
  </si>
  <si>
    <t xml:space="preserve">เสียงดัง/แหลม หรือไม่จ่ายใน 20 วินาที → หยุดปั๊ม ตรวจระดับ+อุณหภูมิน้ำมัน แจ้งช่าง</t>
  </si>
  <si>
    <t xml:space="preserve">ติดตารางเสียงผิดปกติที่ Unit *</t>
  </si>
  <si>
    <t xml:space="preserve">Cavitation/Aeration → ปั๊มสึก แรงดันไม่พอ</t>
  </si>
  <si>
    <t xml:space="preserve">D1, D4</t>
  </si>
  <si>
    <t xml:space="preserve">เพลาปั๊ม (Shaft seal): รั่ว · ฟองอากาศในถัง</t>
  </si>
  <si>
    <t xml:space="preserve">1. ดูรอยน้ำมันที่เพลาปั๊ม
2. ขณะเดิน ดูฟองอากาศที่เกจระดับ/ช่องเติม</t>
  </si>
  <si>
    <t xml:space="preserve">ไม่รั่ว · ไม่มีฟอง</t>
  </si>
  <si>
    <t xml:space="preserve">รั่ว/มีฟอง → แจ้งช่าง (Shaft seal ดูดอากาศ) *</t>
  </si>
  <si>
    <t xml:space="preserve">Aeration → เสียงดัง แรงดันไม่พอ</t>
  </si>
  <si>
    <t xml:space="preserve">D4, D12</t>
  </si>
  <si>
    <t xml:space="preserve">สั่น/ร้อน ปั๊ม · มอเตอร์</t>
  </si>
  <si>
    <t xml:space="preserve">1. ใช้หลังมือแตะ Casing ปั๊มและมอเตอร์ (ห้ามแตะส่วนหมุน)
2. เทียบตารางสัมผัส (p.19)</t>
  </si>
  <si>
    <t xml:space="preserve">ไม่สั่น · ไม่ร้อนผิดปกติ</t>
  </si>
  <si>
    <t xml:space="preserve">สั่น/ร้อน → แจ้งช่างซ่อมบำรุง *</t>
  </si>
  <si>
    <t xml:space="preserve">D · ขณะเดิน</t>
  </si>
  <si>
    <t xml:space="preserve">Thermo-label บน Casing ปั๊ม/มอเตอร์ *</t>
  </si>
  <si>
    <t xml:space="preserve">ชิ้นส่วนสึก · ร้อนเกิน → BD</t>
  </si>
  <si>
    <t xml:space="preserve">D6</t>
  </si>
  <si>
    <t xml:space="preserve">PDF p.14, p.19</t>
  </si>
  <si>
    <t xml:space="preserve">Coupling: ตั้งศูนย์ + จาระบี</t>
  </si>
  <si>
    <t xml:space="preserve">A/L</t>
  </si>
  <si>
    <t xml:space="preserve">1. หยุด + LOTO *
2. ตรวจศูนย์ Coupling
3. เติมจาระบี / เปลี่ยนตามสภาพ</t>
  </si>
  <si>
    <t xml:space="preserve">ไม่มีเสียง “กะตะ” · ศูนย์ตามค่าที่กำหนด [DATA REQUIRED]</t>
  </si>
  <si>
    <t xml:space="preserve">เสียง/สั่น → ตั้งศูนย์ใหม่</t>
  </si>
  <si>
    <t xml:space="preserve">1Y *</t>
  </si>
  <si>
    <t xml:space="preserve">เสียง สั่น ชิ้นส่วนสึก</t>
  </si>
  <si>
    <t xml:space="preserve">PM</t>
  </si>
  <si>
    <t xml:space="preserve">โบลต์ฝาปั๊ม (หลังงานซ่อม)</t>
  </si>
  <si>
    <t xml:space="preserve">T</t>
  </si>
  <si>
    <t xml:space="preserve">1. ขันตาม Torque คู่มือผู้ผลิต
2. ทำ Match mark</t>
  </si>
  <si>
    <t xml:space="preserve">Torque ตามคู่มือ [DATA REQUIRED]</t>
  </si>
  <si>
    <t xml:space="preserve">ร้อนผิดปกติหลังซ่อม → ตรวจ Torque</t>
  </si>
  <si>
    <t xml:space="preserve">ทุกครั้งที่ซ่อม *</t>
  </si>
  <si>
    <t xml:space="preserve">Match mark หลังขัน *</t>
  </si>
  <si>
    <t xml:space="preserve">ขันแน่นเกิน → ปั๊มร้อน</t>
  </si>
  <si>
    <t xml:space="preserve">Relief valve: Lock nut + แรงดันขณะทำงาน</t>
  </si>
  <si>
    <t xml:space="preserve">I/T</t>
  </si>
  <si>
    <t xml:space="preserve">1. ดู Match mark ที่ Lock nut
2. ดูเกจขณะเครื่องทำงาน</t>
  </si>
  <si>
    <t xml:space="preserve">Lock nut ไม่หลวม · เกจนิ่งที่ค่าตั้ง แกว่ง ≤ ±3 kgf/cm²</t>
  </si>
  <si>
    <t xml:space="preserve">หลวม/แรงดันเปลี่ยน → แจ้งผู้รับผิดชอบงานซ่อม (ห้ามหมุน Handle เอง *)</t>
  </si>
  <si>
    <t xml:space="preserve">Match mark (I-mark) ที่ Lock nut + แถบเขียวที่ค่าตั้ง *</t>
  </si>
  <si>
    <t xml:space="preserve">ค่าตั้งเปลี่ยน → แรงดันผิด</t>
  </si>
  <si>
    <t xml:space="preserve">D2, D5, D8</t>
  </si>
  <si>
    <t xml:space="preserve">PDF p.17, p.19, p.28</t>
  </si>
  <si>
    <t xml:space="preserve">Relief valve: รั่วจากแต่ละส่วน</t>
  </si>
  <si>
    <t xml:space="preserve">1. เช็ดตัววาล์ว
2. ดูรอยรั่ว</t>
  </si>
  <si>
    <t xml:space="preserve">ไม่รั่ว</t>
  </si>
  <si>
    <t xml:space="preserve">รั่ว → แจ้งผู้รับผิดชอบงานซ่อม</t>
  </si>
  <si>
    <t xml:space="preserve">แรงดันไม่พอ/ไม่นิ่ง</t>
  </si>
  <si>
    <t xml:space="preserve">W9</t>
  </si>
  <si>
    <t xml:space="preserve">PDF p.28</t>
  </si>
  <si>
    <t xml:space="preserve">Relief valve: ทดสอบหมุน Handle</t>
  </si>
  <si>
    <t xml:space="preserve">I/A</t>
  </si>
  <si>
    <t xml:space="preserve">1. คลาย Lock nut ขณะปั๊มเดิน
2. หมุน Handle: ขัน → แรงดันเพิ่ม · คลาย → ลด
3. ตั้งกลับค่าตั้ง + ขัน Lock nut</t>
  </si>
  <si>
    <t xml:space="preserve">แรงดันเปลี่ยนตาม Handle · ตั้งกลับได้</t>
  </si>
  <si>
    <t xml:space="preserve">ไม่เปลี่ยน/ตั้งไม่ได้ → แจ้งผู้รับผิดชอบงานซ่อม</t>
  </si>
  <si>
    <t xml:space="preserve">6M *</t>
  </si>
  <si>
    <t xml:space="preserve">Relief เสียโดยไม่รู้</t>
  </si>
  <si>
    <t xml:space="preserve">ผู้ได้รับมอบหมาย *</t>
  </si>
  <si>
    <t xml:space="preserve">P7</t>
  </si>
  <si>
    <t xml:space="preserve">เกจแรงดัน: ชี้ 0 หลังเลิกงาน</t>
  </si>
  <si>
    <t xml:space="preserve">1. หยุดปั๊ม
2. ดูเข็มเกจ</t>
  </si>
  <si>
    <t xml:space="preserve">ชี้ 0</t>
  </si>
  <si>
    <t xml:space="preserve">ไม่ชี้ 0 → ห้ามคลายข้อต่อ แจ้งช่าง * · ต่ำกว่า 0 → เกจต้องซ่อม</t>
  </si>
  <si>
    <t xml:space="preserve">ป้าย “ชี้ 0 ก่อนคลายข้อต่อ” ที่เกจ *</t>
  </si>
  <si>
    <t xml:space="preserve">อ่านค่าผิด · คลายข้อต่อขณะมีแรงดัน</t>
  </si>
  <si>
    <t xml:space="preserve">D10</t>
  </si>
  <si>
    <t xml:space="preserve">PDF p.20, p.26</t>
  </si>
  <si>
    <t xml:space="preserve">แถบสีเขียว/แดงบนเกจและเทอร์โมมิเตอร์</t>
  </si>
  <si>
    <t xml:space="preserve">1. ดูแถบสีครบ ชัด ไม่เลยขอบสเกล</t>
  </si>
  <si>
    <t xml:space="preserve">แถบครบ ชัด</t>
  </si>
  <si>
    <t xml:space="preserve">ซีด/หลุด → ทำใหม่ (ถอดกระจกขณะไม่มีแรงดัน) *</t>
  </si>
  <si>
    <t xml:space="preserve">Visual control ใช้ไม่ได้</t>
  </si>
  <si>
    <t xml:space="preserve">W13</t>
  </si>
  <si>
    <t xml:space="preserve">Solenoid valve: เสียงคราง “บูน”</t>
  </si>
  <si>
    <t xml:space="preserve">1. ฟังที่ Solenoid ขณะ ON</t>
  </si>
  <si>
    <t xml:space="preserve">ไม่มีเสียงคราง</t>
  </si>
  <si>
    <t xml:space="preserve">มีเสียง → แจ้งช่าง *</t>
  </si>
  <si>
    <t xml:space="preserve">Coil ไหม้ → เครื่องหยุด</t>
  </si>
  <si>
    <t xml:space="preserve">D9</t>
  </si>
  <si>
    <t xml:space="preserve">Solenoid valve: สลับทิศราบรื่น</t>
  </si>
  <si>
    <t xml:space="preserve">1. ดู Actuator เริ่ม · หยุด · กลับทิศ ตรงจังหวะสั่งงาน</t>
  </si>
  <si>
    <t xml:space="preserve">สลับตรงจังหวะ ไม่ค้าง</t>
  </si>
  <si>
    <t xml:space="preserve">ค้าง/สลับช้า → แจ้งช่าง (Spool ติด · สปริงหัก) *</t>
  </si>
  <si>
    <t xml:space="preserve">Spool ติด → Coil ไหม้ · Actuator ทำงานผิด</t>
  </si>
  <si>
    <t xml:space="preserve">D7, D9</t>
  </si>
  <si>
    <t xml:space="preserve">Solenoid valve: รั่ว · โบลต์ · สายไฟ</t>
  </si>
  <si>
    <t xml:space="preserve">C/I/T</t>
  </si>
  <si>
    <t xml:space="preserve">1. เช็ดตัววาล์วและฐานด้วยผ้า
2. ดูรอยรั่ว
3. ดูโบลต์/สกรู (Match mark)
4. ดูสายไฟและจุดต่อ</t>
  </si>
  <si>
    <t xml:space="preserve">ไม่รั่ว · ไม่หลวม · สายไม่ชำรุด</t>
  </si>
  <si>
    <t xml:space="preserve">พบ → แจ้งช่าง / ช่างไฟฟ้า *</t>
  </si>
  <si>
    <t xml:space="preserve">Match mark บนโบลต์ *</t>
  </si>
  <si>
    <t xml:space="preserve">รั่ว · ไฟไม่เข้า → BD</t>
  </si>
  <si>
    <t xml:space="preserve">W10, W11, W12</t>
  </si>
  <si>
    <t xml:space="preserve">การเคลื่อนที่ + เวลาต่อรอบ</t>
  </si>
  <si>
    <t xml:space="preserve">1. จับเวลา 1 รอบ
2. เทียบเวลารอบปกติ
3. ดูความราบรื่น</t>
  </si>
  <si>
    <t xml:space="preserve">ราบรื่น · เวลาเท่าค่าปกติ [DATA REQUIRED]</t>
  </si>
  <si>
    <t xml:space="preserve">สะดุด/ช้าลง → แจ้งช่าง *</t>
  </si>
  <si>
    <t xml:space="preserve">ป้ายเวลารอบปกติที่เครื่อง *</t>
  </si>
  <si>
    <t xml:space="preserve">ความเร็วเปลี่ยน · ไม่รู้ว่าปั๊ม/วาล์วผิดปกติ</t>
  </si>
  <si>
    <t xml:space="preserve">D7</t>
  </si>
  <si>
    <t xml:space="preserve">PDF p.5, p.19</t>
  </si>
  <si>
    <t xml:space="preserve">ก้านสูบ / ส่วนเลื่อน</t>
  </si>
  <si>
    <t xml:space="preserve">1. เครื่องหยุด
2. เช็ดก้านสูบด้วยผ้าสะอาด</t>
  </si>
  <si>
    <t xml:space="preserve">ไม่มีสิ่งสกปรกเกาะ</t>
  </si>
  <si>
    <t xml:space="preserve">สกปรก → ทำความสะอาด</t>
  </si>
  <si>
    <t xml:space="preserve">สิ่งสกปรกทำ Dust seal/Packing เสียหาย → รั่ว</t>
  </si>
  <si>
    <t xml:space="preserve">D14</t>
  </si>
  <si>
    <t xml:space="preserve">PDF p.20</t>
  </si>
  <si>
    <t xml:space="preserve">ก้านสูบ · Dust seal · รอยรั่ว</t>
  </si>
  <si>
    <t xml:space="preserve">1. เช็ดกระบอกสูบก่อน
2. ดูรอยรั่วที่ข้อต่อท่อและ Dust seal
3. ดูก้านสูบและ Dust seal</t>
  </si>
  <si>
    <t xml:space="preserve">แห้ง · ก้านสูบเงาเหมือนกระจก · Dust seal ไม่ฉีก/สึก</t>
  </si>
  <si>
    <t xml:space="preserve">พบ → แจ้งช่าง *</t>
  </si>
  <si>
    <t xml:space="preserve">รั่ว · ความเร็ว/แรงไม่ได้</t>
  </si>
  <si>
    <t xml:space="preserve">W1, W3, W4</t>
  </si>
  <si>
    <t xml:space="preserve">โบลต์ / น็อต กระบอกสูบ</t>
  </si>
  <si>
    <t xml:space="preserve">1. ดู Match mark
2. ลองขันด้วยมือ (เครื่องหยุด)</t>
  </si>
  <si>
    <t xml:space="preserve">หลวม → แจ้งช่าง *</t>
  </si>
  <si>
    <t xml:space="preserve">รั่ว · ตำแหน่งเคลื่อน</t>
  </si>
  <si>
    <t xml:space="preserve">W2</t>
  </si>
  <si>
    <t xml:space="preserve">Cushion valve</t>
  </si>
  <si>
    <t xml:space="preserve">A</t>
  </si>
  <si>
    <t xml:space="preserve">1. ปรับเฉพาะเมื่อมีแรงกระแทกปลายจังหวะ
2. แยก Cushion valve (มี Lock nut) จาก Check valve blank</t>
  </si>
  <si>
    <t xml:space="preserve">ไม่มีแรงกระแทก</t>
  </si>
  <si>
    <t xml:space="preserve">กระแทก → แจ้งผู้ได้รับมอบหมายปรับ *</t>
  </si>
  <si>
    <t xml:space="preserve">เมื่อพบ *</t>
  </si>
  <si>
    <t xml:space="preserve">ป้ายชื่อ Cushion valve / Check valve *</t>
  </si>
  <si>
    <t xml:space="preserve">แรงกระแทกทำลายท่อและวาล์ว</t>
  </si>
  <si>
    <t xml:space="preserve">สายแรงดันสูง</t>
  </si>
  <si>
    <t xml:space="preserve">1. ดูสายบวม (ช่วง 500 mm จากข้อต่อ)
2. ดูลวดเสริมขาด · งอชิดข้อต่อ · บิด
3. ดูแนวหย่อนเล็กน้อย</t>
  </si>
  <si>
    <t xml:space="preserve">ไม่บวม · ลวดไม่ขาด · ไม่งอชิด · ไม่บิด</t>
  </si>
  <si>
    <t xml:space="preserve">พบ → หยุดใช้ แจ้งช่าง *</t>
  </si>
  <si>
    <t xml:space="preserve">ป้ายวันเปลี่ยนสายที่ข้อต่อ *</t>
  </si>
  <si>
    <t xml:space="preserve">สายแตก น้ำมันแรงดันสูงพุ่ง [INFER]</t>
  </si>
  <si>
    <t xml:space="preserve">W5, W6, W8</t>
  </si>
  <si>
    <t xml:space="preserve">ข้อต่อท่อ · O-ring: รอยรั่ว</t>
  </si>
  <si>
    <t xml:space="preserve">1. เช็ดข้อต่อ
2. ดูรอยรั่วและ Match mark
3. เปลี่ยน O-ring ให้ตรงวัสดุ/ขนาด (งานซ่อม)</t>
  </si>
  <si>
    <t xml:space="preserve">แห้ง · Match mark ตรง</t>
  </si>
  <si>
    <t xml:space="preserve">รั่ว → ติด F-tag แจ้งช่าง * (ห้ามคลายขณะมีแรงดัน)</t>
  </si>
  <si>
    <t xml:space="preserve">Match mark บนข้อต่อ *</t>
  </si>
  <si>
    <t xml:space="preserve">สูญเสียน้ำมัน 151 L/ปี/จุด · พื้นลื่น</t>
  </si>
  <si>
    <t xml:space="preserve">D12, D13</t>
  </si>
  <si>
    <t xml:space="preserve">PDF p.13, p.17, p.32</t>
  </si>
  <si>
    <t xml:space="preserve">Lock clamp · Band</t>
  </si>
  <si>
    <t xml:space="preserve">T/I</t>
  </si>
  <si>
    <t xml:space="preserve">1. ดู Clamp แน่น สกรูครบ (ไม่มีแรงดัน)
2. ดูสายไม่สัมผัสส่วนเคลื่อนไหว</t>
  </si>
  <si>
    <t xml:space="preserve">แน่น · สายไม่เสียดสี</t>
  </si>
  <si>
    <t xml:space="preserve">หลวม/สัมผัส → แจ้งช่าง *</t>
  </si>
  <si>
    <t xml:space="preserve">สายสึกจนแตก</t>
  </si>
  <si>
    <t xml:space="preserve">W7</t>
  </si>
  <si>
    <t xml:space="preserve">เวลา AM รายวันรวม (นาที) · เป้า Step 3: &lt; 10 นาที/กะ</t>
  </si>
  <si>
    <t xml:space="preserve">เวลา AM รายสัปดาห์รวม (นาที)</t>
  </si>
  <si>
    <t xml:space="preserve">AM Calendar — ระบบไฮดรอลิก · ปี ……</t>
  </si>
  <si>
    <t xml:space="preserve">D = ทุกวัน · W = รายสัปดาห์ · Q = ทุก 3 เดือน (มี.ค. มิ.ย. ก.ย. ธ.ค. *) · S = ทุก 6 เดือน (มิ.ย. ธ.ค. *) · A = ทุก 1 ปี (ธ.ค. *) · เดือนที่ตรวจตามรอบเป็นข้อเสนอ ให้วางตามแผนหยุดเครื่อง</t>
  </si>
  <si>
    <t xml:space="preserve">กิจกรรม (CILT)</t>
  </si>
  <si>
    <t xml:space="preserve">Risk</t>
  </si>
  <si>
    <t xml:space="preserve">ม.ค.</t>
  </si>
  <si>
    <t xml:space="preserve">ก.พ.</t>
  </si>
  <si>
    <t xml:space="preserve">มี.ค.</t>
  </si>
  <si>
    <t xml:space="preserve">เม.ย.</t>
  </si>
  <si>
    <t xml:space="preserve">พ.ค.</t>
  </si>
  <si>
    <t xml:space="preserve">มิ.ย.</t>
  </si>
  <si>
    <t xml:space="preserve">ก.ค.</t>
  </si>
  <si>
    <t xml:space="preserve">ส.ค.</t>
  </si>
  <si>
    <t xml:space="preserve">ก.ย.</t>
  </si>
  <si>
    <t xml:space="preserve">ต.ค.</t>
  </si>
  <si>
    <t xml:space="preserve">พ.ย.</t>
  </si>
  <si>
    <t xml:space="preserve">ธ.ค.</t>
  </si>
  <si>
    <t xml:space="preserve">W</t>
  </si>
  <si>
    <t xml:space="preserve">ทุกวัน (Daily)</t>
  </si>
  <si>
    <t xml:space="preserve">รายสัปดาห์ (Weekly)</t>
  </si>
  <si>
    <t xml:space="preserve">Q</t>
  </si>
  <si>
    <t xml:space="preserve">ทุก 3 เดือน</t>
  </si>
  <si>
    <t xml:space="preserve">ทุก 6 เดือน</t>
  </si>
  <si>
    <t xml:space="preserve">ทุก 1 ปี (Annual)</t>
  </si>
  <si>
    <r>
      <rPr>
        <b val="true"/>
        <sz val="15"/>
        <color rgb="FFFFFFFF"/>
        <rFont val="Tahoma"/>
        <family val="0"/>
        <charset val="1"/>
      </rPr>
      <t xml:space="preserve">Step 3B · Kaizen &amp; IoT CBM — ระบบไฮดรอลิก (</t>
    </r>
    <r>
      <rPr>
        <b val="true"/>
        <sz val="15"/>
        <color rgb="FFFFFFFF"/>
        <rFont val="WenQuanYi Zen Hei"/>
        <family val="2"/>
      </rPr>
      <t xml:space="preserve">からくりカイゼン </t>
    </r>
    <r>
      <rPr>
        <b val="true"/>
        <sz val="15"/>
        <color rgb="FFFFFFFF"/>
        <rFont val="Tahoma"/>
        <family val="0"/>
        <charset val="1"/>
      </rPr>
      <t xml:space="preserve">= Karakuri Kaizen · </t>
    </r>
    <r>
      <rPr>
        <b val="true"/>
        <sz val="15"/>
        <color rgb="FFFFFFFF"/>
        <rFont val="WenQuanYi Zen Hei"/>
        <family val="2"/>
      </rPr>
      <t xml:space="preserve">目で見る管理 </t>
    </r>
    <r>
      <rPr>
        <b val="true"/>
        <sz val="15"/>
        <color rgb="FFFFFFFF"/>
        <rFont val="Tahoma"/>
        <family val="0"/>
        <charset val="1"/>
      </rPr>
      <t xml:space="preserve">= Visual control)</t>
    </r>
  </si>
  <si>
    <t xml:space="preserve">เงื่อนไข: เป็น HTA (Hard to Access) หรือ SOC (Source of Contamination) และใช้เวลาตรวจ &gt; 2 นาที · เวลาปัจจุบัน = ประมาณการ [INFER] ต้องจับเวลาจริงก่อนอนุมัติ · ราคา [AI-KB] ให้จัดซื้อยืนยัน</t>
  </si>
  <si>
    <t xml:space="preserve">จุดตรวจ / CILT</t>
  </si>
  <si>
    <t xml:space="preserve">ปัญหาปัจจุบัน (HTA / SOC · เวลา)</t>
  </si>
  <si>
    <t xml:space="preserve">ประเภท</t>
  </si>
  <si>
    <t xml:space="preserve">Idea</t>
  </si>
  <si>
    <t xml:space="preserve">ประโยชน์ที่คาด</t>
  </si>
  <si>
    <t xml:space="preserve">ค่าใช้จ่าย (บาท)</t>
  </si>
  <si>
    <t xml:space="preserve">เวลาที่ลดได้</t>
  </si>
  <si>
    <t xml:space="preserve">Priority</t>
  </si>
  <si>
    <t xml:space="preserve">H01 ภายนอก · รอยรั่วข้อต่อ (C)</t>
  </si>
  <si>
    <t xml:space="preserve">SOC: น้ำมันรั่วจากข้อต่อ/Relief/Solenoid/Dust seal · เช็ดและหาจุดรั่วทั้ง Unit ~3 นาที/วัน [INFER]</t>
  </si>
  <si>
    <t xml:space="preserve">Visual control</t>
  </si>
  <si>
    <t xml:space="preserve">ถาดรองน้ำมัน + แผ่นซับสีขาวใต้จุดเสี่ยงรั่ว ติดหมายเลขจุด → เห็นหยดและรู้ตำแหน่งทันที</t>
  </si>
  <si>
    <t xml:space="preserve">รู้จุดรั่วเร็ว · ลดน้ำมันสูญเสีย (151 L/ปี/จุด) · ลดเวลาเช็ด</t>
  </si>
  <si>
    <t xml:space="preserve">~500–1,000 [AI-KB]</t>
  </si>
  <si>
    <t xml:space="preserve">~2 นาที/วัน [INFER]</t>
  </si>
  <si>
    <t xml:space="preserve">P1</t>
  </si>
  <si>
    <t xml:space="preserve">Leader</t>
  </si>
  <si>
    <t xml:space="preserve">H12/H17/H21 Lock nut · โบลต์ (T)</t>
  </si>
  <si>
    <t xml:space="preserve">HTA: ต้องลองขันทีละตัวด้วยมือ/ประแจ ~3 นาที/ครั้ง [INFER]</t>
  </si>
  <si>
    <t xml:space="preserve">Match mark (I-mark) ด้วย Paint marker บนทุก Lock nut และโบลต์สำคัญ → ดูด้วยตาว่าเส้นตรงกัน</t>
  </si>
  <si>
    <t xml:space="preserve">ตรวจด้วยตาใน 0.5 นาที · เห็น Lock nut Relief คลายทันที</t>
  </si>
  <si>
    <t xml:space="preserve">~100–300 [AI-KB]</t>
  </si>
  <si>
    <t xml:space="preserve">~2.5 นาที/ครั้ง [INFER]</t>
  </si>
  <si>
    <t xml:space="preserve">PDF p.17, p.30–31</t>
  </si>
  <si>
    <t xml:space="preserve">H07/H10 เสียง · สั่น · ร้อน ปั๊ม-มอเตอร์ (I)</t>
  </si>
  <si>
    <t xml:space="preserve">HTA: ฟังเสียง/แตะ Casing ในพื้นที่เสียงดัง ใกล้ส่วนหมุน ~2 นาที/กะ [INFER] · Operator ใหม่แยกเสียงยาก</t>
  </si>
  <si>
    <t xml:space="preserve">IoT CBM</t>
  </si>
  <si>
    <t xml:space="preserve">Vibration sensor (MEMS) + Temperature sensor (DS18B20) บน Casing ปั๊มและมอเตอร์ → ESP32 แจ้งเตือนเมื่อเกินค่า + เก็บ Trend</t>
  </si>
  <si>
    <t xml:space="preserve">เฝ้าดู 24 ชม. · เตือนก่อนปั๊มเสีย · ลดการเข้าใกล้ส่วนหมุน</t>
  </si>
  <si>
    <t xml:space="preserve">~1,000–2,000 [AI-KB]</t>
  </si>
  <si>
    <t xml:space="preserve">~2 นาที/กะ [INFER]</t>
  </si>
  <si>
    <t xml:space="preserve">P2</t>
  </si>
  <si>
    <t xml:space="preserve">Engineer</t>
  </si>
  <si>
    <t xml:space="preserve">PDF p.14, p.18–19</t>
  </si>
  <si>
    <t xml:space="preserve">H05 Air breather (C)</t>
  </si>
  <si>
    <t xml:space="preserve">SOC: ฝุ่นในพื้นที่เข้าถัง · ล้างไส้กรองบ่อย ~5 นาที/ครั้ง [INFER]</t>
  </si>
  <si>
    <t xml:space="preserve">Karakuri / เปลี่ยนชนิด</t>
  </si>
  <si>
    <t xml:space="preserve">เปลี่ยนเป็น Air breather แบบ Oil bath ในพื้นที่ฝุ่นมาก (ต้นฉบับ p.22)</t>
  </si>
  <si>
    <t xml:space="preserve">ฝุ่นเข้าน้ำมันน้อยลง · ล้างห่างขึ้น</t>
  </si>
  <si>
    <t xml:space="preserve">[DATA REQUIRED] ตามรุ่น</t>
  </si>
  <si>
    <t xml:space="preserve">~3 นาที/สัปดาห์ [INFER]</t>
  </si>
  <si>
    <t xml:space="preserve">P3</t>
  </si>
  <si>
    <t xml:space="preserve">PDF p.22</t>
  </si>
  <si>
    <t xml:space="preserve">Step 5 · Self-Verification</t>
  </si>
  <si>
    <t xml:space="preserve">ผล ✓ = ผ่าน · △ = ผ่านแบบมีเงื่อนไข (ต้องกรอกข้อมูลเครื่องจริง) · บางข้อคำนวณจากชีท FMEA</t>
  </si>
  <si>
    <t xml:space="preserve">V</t>
  </si>
  <si>
    <t xml:space="preserve">ตรวจอะไร</t>
  </si>
  <si>
    <t xml:space="preserve">ผล</t>
  </si>
  <si>
    <t xml:space="preserve">หมายเหตุ</t>
  </si>
  <si>
    <t xml:space="preserve">V1</t>
  </si>
  <si>
    <t xml:space="preserve">Part ทุกตัวมาจากเอกสาร (ไม่มี Part ที่แต่งขึ้น)</t>
  </si>
  <si>
    <t xml:space="preserve">△</t>
  </si>
  <si>
    <t xml:space="preserve">ทุก Part มาจาก PDF ต้นฉบับ (ชีท Breakdown คอลัมน์ที่มา) · ยังไม่มี Spare Part List → Part No. = [DATA REQUIRED]</t>
  </si>
  <si>
    <t xml:space="preserve">V2</t>
  </si>
  <si>
    <t xml:space="preserve">S / O / D ทุกตัวมีเหตุผลอ้างตาราง AIAG</t>
  </si>
  <si>
    <t xml:space="preserve">S และ D อ้างตาราง · O ยังไม่มีประวัติเสียของเครื่อง → ประเมินจากสาเหตุในต้นฉบับ [INFER] ให้ปรับด้วย BD record</t>
  </si>
  <si>
    <t xml:space="preserve">V3</t>
  </si>
  <si>
    <t xml:space="preserve">Part ที่ S = 9–10 เป็น CRITICAL ทุกตัว</t>
  </si>
  <si>
    <t xml:space="preserve">สูตรใน FMEA บังคับ S ≥ 9 → CRITICAL</t>
  </si>
  <si>
    <t xml:space="preserve">V4</t>
  </si>
  <si>
    <t xml:space="preserve">Kaizen ทุกรายการเป็น HTA/SOC และ &gt; 2 นาที</t>
  </si>
  <si>
    <t xml:space="preserve">ทุกรายการระบุ HTA/SOC · เวลาปัจจุบันเป็นประมาณการ → จับเวลาจริงก่อนอนุมัติ</t>
  </si>
  <si>
    <t xml:space="preserve">V5</t>
  </si>
  <si>
    <t xml:space="preserve">Module code (M1–M6) ครบทุก Part</t>
  </si>
  <si>
    <t xml:space="preserve">✓</t>
  </si>
  <si>
    <t xml:space="preserve">ชีท Breakdown คอลัมน์ Module</t>
  </si>
  <si>
    <t xml:space="preserve">V6</t>
  </si>
  <si>
    <t xml:space="preserve">Failure cause ทุกข้อ map กลับ CILT gap + Stress/Strength</t>
  </si>
  <si>
    <t xml:space="preserve">ชีท FMEA คอลัมน์ Failure cause และ Stress / Strength</t>
  </si>
  <si>
    <t xml:space="preserve">V7</t>
  </si>
  <si>
    <t xml:space="preserve">ไม่มี Spec / Part No. ที่แต่งขึ้น</t>
  </si>
  <si>
    <t xml:space="preserve">ค่าตั้ง · Torque · ชนิดน้ำมัน · Part No. = [DATA REQUIRED]</t>
  </si>
  <si>
    <t xml:space="preserve">V8</t>
  </si>
  <si>
    <t xml:space="preserve">Critical part ทุกตัวอยู่ใน AM Standard / AM Check Sheet</t>
  </si>
  <si>
    <t xml:space="preserve">สูตรนับ Critical ที่คอลัมน์ “อยู่ใน AM Standard” = ขาด · ข้อใน AM Check Sheet อยู่ในชีท AM_Standard</t>
  </si>
  <si>
    <t xml:space="preserve">V9</t>
  </si>
  <si>
    <t xml:space="preserve">Calendar สอดคล้องความถี่ใน AM Standard</t>
  </si>
  <si>
    <t xml:space="preserve">สร้างจากแถวเดียวกันของ AM_Standard</t>
  </si>
  <si>
    <t xml:space="preserve">V10</t>
  </si>
  <si>
    <t xml:space="preserve">Kaizen มีค่าใช้จ่ายและเวลาที่ลดได้ทุกรายการ</t>
  </si>
  <si>
    <t xml:space="preserve">ราคา [AI-KB] และเวลา [INFER] เป็นประมาณการ</t>
  </si>
  <si>
    <t xml:space="preserve">To Confirm — ประเด็นที่ต้องยืนยันก่อนใช้จริง</t>
  </si>
  <si>
    <t xml:space="preserve">ให้หัวหน้างาน / ฝ่ายซ่อมบำรุง / Safety ยืนยัน แล้วแก้ในชีทที่เกี่ยวข้อง</t>
  </si>
  <si>
    <t xml:space="preserve">ประเด็น</t>
  </si>
  <si>
    <t xml:space="preserve">รายละเอียด</t>
  </si>
  <si>
    <t xml:space="preserve">ที่มา / สถานะ</t>
  </si>
  <si>
    <t xml:space="preserve">ผู้ยืนยัน</t>
  </si>
  <si>
    <t xml:space="preserve">วันที่</t>
  </si>
  <si>
    <t xml:space="preserve">ผล / ค่าที่ใช้</t>
  </si>
  <si>
    <t xml:space="preserve">Part No. ทุกชิ้นจาก Spare Part List ของเครื่องจริง</t>
  </si>
  <si>
    <t xml:space="preserve">ชีท Breakdown</t>
  </si>
  <si>
    <t xml:space="preserve">ค่าตั้งแรงดัน · เวลาต่อรอบ · Torque ฝาปั๊ม · ค่าศูนย์ Coupling</t>
  </si>
  <si>
    <t xml:space="preserve">ชีท Breakdown / AM_Standard</t>
  </si>
  <si>
    <t xml:space="preserve">ค่า O (โอกาสเกิด) ทุกแถว</t>
  </si>
  <si>
    <t xml:space="preserve">ยังไม่มีประวัติเสีย → ปรับด้วย BD/F-tag record 6–12 เดือน</t>
  </si>
  <si>
    <t xml:space="preserve">[INFER] → ข้อมูลจริง</t>
  </si>
  <si>
    <t xml:space="preserve">เวลาต่อจุดตรวจ (นาที)</t>
  </si>
  <si>
    <t xml:space="preserve">ประมาณการ · จับเวลาจริงตอนทดลองใช้ · เป้า &lt; 10 นาที/กะ</t>
  </si>
  <si>
    <t xml:space="preserve">[INFER]</t>
  </si>
  <si>
    <t xml:space="preserve">ความถี่ W * · 6M * · 1Y * และเดือนในปฏิทิน</t>
  </si>
  <si>
    <t xml:space="preserve">ต้นฉบับกำหนดเฉพาะ Daily และ Filter 6 เดือน</t>
  </si>
  <si>
    <t xml:space="preserve">ข้อเสนอ</t>
  </si>
  <si>
    <t xml:space="preserve">ผู้หมุน Relief Handle · ผู้ปรับ Cushion valve = ผู้ได้รับมอบหมาย</t>
  </si>
  <si>
    <t xml:space="preserve">สอดคล้อง EP05, EP07, EP19</t>
  </si>
  <si>
    <t xml:space="preserve">LOTO + ปล่อยแรงดันจนเกจชี้ 0 ก่อนงาน PM/ถอดชิ้นส่วน</t>
  </si>
  <si>
    <t xml:space="preserve">ต้นฉบับไม่ระบุขั้นตอน</t>
  </si>
  <si>
    <t xml:space="preserve">ข้อเสนอ · Safety ยืนยัน</t>
  </si>
  <si>
    <t xml:space="preserve">ราคา Kaizen / IoT</t>
  </si>
  <si>
    <t xml:space="preserve">ประมาณการ</t>
  </si>
  <si>
    <t xml:space="preserve">[AI-KB] · จัดซื้อยืนยัน</t>
  </si>
  <si>
    <t xml:space="preserve">S = 9 ของสายแรงดันสูง (น้ำมันพุ่ง)</t>
  </si>
  <si>
    <t xml:space="preserve">อันตรายน้ำมันแรงดันสูงเป็นเกณฑ์ทั่วไป ไม่อยู่ในต้นฉบับ</t>
  </si>
  <si>
    <t xml:space="preserve">[INFER] · Safety ยืนยัน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</si>
</sst>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Tahoma"/>
      <family val="0"/>
      <charset val="1"/>
    </font>
    <font>
      <b val="true"/>
      <sz val="15"/>
      <color rgb="FFFFFFFF"/>
      <name val="WenQuanYi Zen Hei"/>
      <family val="2"/>
    </font>
    <font>
      <i val="true"/>
      <sz val="9"/>
      <color rgb="FF5A6775"/>
      <name val="Tahoma"/>
      <family val="0"/>
      <charset val="1"/>
    </font>
    <font>
      <b val="true"/>
      <sz val="9"/>
      <color rgb="FF1A1D21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b val="true"/>
      <sz val="10"/>
      <color rgb="FF1A1D21"/>
      <name val="Tahoma"/>
      <family val="0"/>
      <charset val="1"/>
    </font>
    <font>
      <sz val="10"/>
      <color rgb="FF1A1D21"/>
      <name val="Tahoma"/>
      <family val="0"/>
      <charset val="1"/>
    </font>
    <font>
      <sz val="10"/>
      <color rgb="FF1A1D21"/>
      <name val="WenQuanYi Zen Hei"/>
      <family val="2"/>
    </font>
    <font>
      <b val="true"/>
      <sz val="9"/>
      <color rgb="FFFFFFFF"/>
      <name val="Tahoma"/>
      <family val="0"/>
      <charset val="1"/>
    </font>
    <font>
      <b val="true"/>
      <sz val="10"/>
      <color rgb="FF1F5FBF"/>
      <name val="Tahoma"/>
      <family val="0"/>
      <charset val="1"/>
    </font>
    <font>
      <sz val="9"/>
      <color rgb="FF1A1D21"/>
      <name val="Tahoma"/>
      <family val="0"/>
      <charset val="1"/>
    </font>
    <font>
      <sz val="9"/>
      <color rgb="FFB07A00"/>
      <name val="Tahoma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2A36"/>
        <bgColor rgb="FF1A1D21"/>
      </patternFill>
    </fill>
    <fill>
      <patternFill patternType="solid">
        <fgColor rgb="FFFFFF00"/>
        <bgColor rgb="FFFFF59D"/>
      </patternFill>
    </fill>
    <fill>
      <patternFill patternType="solid">
        <fgColor rgb="FFE3ECF9"/>
        <bgColor rgb="FFDCEBFA"/>
      </patternFill>
    </fill>
    <fill>
      <patternFill patternType="solid">
        <fgColor rgb="FFF2F2F2"/>
        <bgColor rgb="FFE3ECF9"/>
      </patternFill>
    </fill>
    <fill>
      <patternFill patternType="solid">
        <fgColor rgb="FFDCEBFA"/>
        <bgColor rgb="FFE3ECF9"/>
      </patternFill>
    </fill>
    <fill>
      <patternFill patternType="solid">
        <fgColor rgb="FFDFF2E1"/>
        <bgColor rgb="FFE3ECF9"/>
      </patternFill>
    </fill>
    <fill>
      <patternFill patternType="solid">
        <fgColor rgb="FFFBE0D0"/>
        <bgColor rgb="FFFCE7B2"/>
      </patternFill>
    </fill>
    <fill>
      <patternFill patternType="solid">
        <fgColor rgb="FFEDE3F7"/>
        <bgColor rgb="FFE3ECF9"/>
      </patternFill>
    </fill>
    <fill>
      <patternFill patternType="solid">
        <fgColor rgb="FFC8E6C9"/>
        <bgColor rgb="FFDFF2E1"/>
      </patternFill>
    </fill>
    <fill>
      <patternFill patternType="solid">
        <fgColor rgb="FFBBDEFB"/>
        <bgColor rgb="FFC8E6C9"/>
      </patternFill>
    </fill>
    <fill>
      <patternFill patternType="solid">
        <fgColor rgb="FFEF9A9A"/>
        <bgColor rgb="FFFF8080"/>
      </patternFill>
    </fill>
    <fill>
      <patternFill patternType="solid">
        <fgColor rgb="FFD1C4E9"/>
        <bgColor rgb="FFF8C9CF"/>
      </patternFill>
    </fill>
    <fill>
      <patternFill patternType="solid">
        <fgColor rgb="FFFFCC80"/>
        <bgColor rgb="FFF8C9CF"/>
      </patternFill>
    </fill>
    <fill>
      <patternFill patternType="solid">
        <fgColor rgb="FFF8C9CF"/>
        <bgColor rgb="FFFBE0D0"/>
      </patternFill>
    </fill>
    <fill>
      <patternFill patternType="solid">
        <fgColor rgb="FFFCE7B2"/>
        <bgColor rgb="FFFBE0D0"/>
      </patternFill>
    </fill>
    <fill>
      <patternFill patternType="solid">
        <fgColor rgb="FFFFF59D"/>
        <bgColor rgb="FFFCE7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1AA"/>
      </left>
      <right style="thin">
        <color rgb="FF9AA1AA"/>
      </right>
      <top style="thin">
        <color rgb="FF9AA1AA"/>
      </top>
      <bottom style="thin">
        <color rgb="FF9AA1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ont>
        <name val="Tahoma"/>
        <charset val="1"/>
        <family val="0"/>
        <b val="1"/>
        <color rgb="FFC32A3E"/>
      </font>
      <fill>
        <patternFill>
          <bgColor rgb="FFF8C9CF"/>
        </patternFill>
      </fill>
    </dxf>
    <dxf>
      <font>
        <name val="Tahoma"/>
        <charset val="1"/>
        <family val="0"/>
        <b val="1"/>
        <color rgb="FF8A5A00"/>
      </font>
      <fill>
        <patternFill>
          <bgColor rgb="FFFCE7B2"/>
        </patternFill>
      </fill>
    </dxf>
    <dxf>
      <font>
        <name val="Tahoma"/>
        <charset val="1"/>
        <family val="0"/>
        <b val="1"/>
        <color rgb="FF1F5FBF"/>
      </font>
      <fill>
        <patternFill>
          <bgColor rgb="FFE3ECF9"/>
        </patternFill>
      </fill>
    </dxf>
    <dxf>
      <font>
        <name val="Tahoma"/>
        <charset val="1"/>
        <family val="0"/>
        <b val="1"/>
        <color rgb="FF5A6775"/>
      </font>
      <fill>
        <patternFill>
          <bgColor rgb="FFF2F2F2"/>
        </patternFill>
      </fill>
    </dxf>
    <dxf>
      <fill>
        <patternFill>
          <bgColor rgb="FFF8C9CF"/>
        </patternFill>
      </fill>
    </dxf>
    <dxf>
      <fill>
        <patternFill>
          <bgColor rgb="FFC8E6C9"/>
        </patternFill>
      </fill>
    </dxf>
    <dxf>
      <fill>
        <patternFill>
          <bgColor rgb="FFFCE7B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07A00"/>
      <rgbColor rgb="FF800080"/>
      <rgbColor rgb="FF008080"/>
      <rgbColor rgb="FFC8E6C9"/>
      <rgbColor rgb="FF808080"/>
      <rgbColor rgb="FFEDE3F7"/>
      <rgbColor rgb="FFC32A3E"/>
      <rgbColor rgb="FFF2F2F2"/>
      <rgbColor rgb="FFDCEBFA"/>
      <rgbColor rgb="FF660066"/>
      <rgbColor rgb="FFFF8080"/>
      <rgbColor rgb="FF1F5FBF"/>
      <rgbColor rgb="FFD1C4E9"/>
      <rgbColor rgb="FF000080"/>
      <rgbColor rgb="FFFF00FF"/>
      <rgbColor rgb="FFFCE7B2"/>
      <rgbColor rgb="FF00FFFF"/>
      <rgbColor rgb="FF800080"/>
      <rgbColor rgb="FF800000"/>
      <rgbColor rgb="FF008080"/>
      <rgbColor rgb="FF0000FF"/>
      <rgbColor rgb="FF00CCFF"/>
      <rgbColor rgb="FFE3ECF9"/>
      <rgbColor rgb="FFDFF2E1"/>
      <rgbColor rgb="FFFFF59D"/>
      <rgbColor rgb="FFBBDEFB"/>
      <rgbColor rgb="FFEF9A9A"/>
      <rgbColor rgb="FFF8C9CF"/>
      <rgbColor rgb="FFFFCC80"/>
      <rgbColor rgb="FF3366FF"/>
      <rgbColor rgb="FF33CCCC"/>
      <rgbColor rgb="FF99CC00"/>
      <rgbColor rgb="FFFBE0D0"/>
      <rgbColor rgb="FFFF9900"/>
      <rgbColor rgb="FFFF6600"/>
      <rgbColor rgb="FF5A6775"/>
      <rgbColor rgb="FF9AA1AA"/>
      <rgbColor rgb="FF003366"/>
      <rgbColor rgb="FF339966"/>
      <rgbColor rgb="FF003300"/>
      <rgbColor rgb="FF1A1D21"/>
      <rgbColor rgb="FF8A5A00"/>
      <rgbColor rgb="FF993366"/>
      <rgbColor rgb="FF333399"/>
      <rgbColor rgb="FF1F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2</v>
      </c>
      <c r="B3" s="4"/>
      <c r="C3" s="4"/>
      <c r="D3" s="3" t="s">
        <v>3</v>
      </c>
      <c r="E3" s="4"/>
      <c r="F3" s="4"/>
    </row>
    <row r="4" customFormat="false" ht="19.5" hidden="false" customHeight="true" outlineLevel="0" collapsed="false">
      <c r="A4" s="3" t="s">
        <v>4</v>
      </c>
      <c r="B4" s="4"/>
      <c r="C4" s="4"/>
      <c r="D4" s="3" t="s">
        <v>5</v>
      </c>
      <c r="E4" s="4"/>
      <c r="F4" s="4"/>
    </row>
    <row r="6" customFormat="false" ht="39.75" hidden="false" customHeight="true" outlineLevel="0" collapsed="false">
      <c r="A6" s="5" t="s">
        <v>6</v>
      </c>
      <c r="B6" s="5" t="s">
        <v>7</v>
      </c>
      <c r="C6" s="5"/>
      <c r="D6" s="5"/>
      <c r="E6" s="5"/>
      <c r="F6" s="5"/>
    </row>
    <row r="7" customFormat="false" ht="39.75" hidden="false" customHeight="true" outlineLevel="0" collapsed="false">
      <c r="A7" s="6" t="s">
        <v>8</v>
      </c>
      <c r="B7" s="7" t="s">
        <v>9</v>
      </c>
      <c r="C7" s="7"/>
      <c r="D7" s="7"/>
      <c r="E7" s="7"/>
      <c r="F7" s="7"/>
    </row>
    <row r="8" customFormat="false" ht="39.75" hidden="false" customHeight="true" outlineLevel="0" collapsed="false">
      <c r="A8" s="6" t="s">
        <v>10</v>
      </c>
      <c r="B8" s="7" t="s">
        <v>11</v>
      </c>
      <c r="C8" s="7"/>
      <c r="D8" s="7"/>
      <c r="E8" s="7"/>
      <c r="F8" s="7"/>
    </row>
    <row r="9" customFormat="false" ht="39.75" hidden="false" customHeight="true" outlineLevel="0" collapsed="false">
      <c r="A9" s="6" t="s">
        <v>12</v>
      </c>
      <c r="B9" s="7" t="s">
        <v>13</v>
      </c>
      <c r="C9" s="7"/>
      <c r="D9" s="7"/>
      <c r="E9" s="7"/>
      <c r="F9" s="7"/>
    </row>
    <row r="10" customFormat="false" ht="39.75" hidden="false" customHeight="true" outlineLevel="0" collapsed="false">
      <c r="A10" s="6" t="s">
        <v>14</v>
      </c>
      <c r="B10" s="7" t="s">
        <v>15</v>
      </c>
      <c r="C10" s="7"/>
      <c r="D10" s="7"/>
      <c r="E10" s="7"/>
      <c r="F10" s="7"/>
    </row>
    <row r="11" customFormat="false" ht="39.75" hidden="false" customHeight="true" outlineLevel="0" collapsed="false">
      <c r="A11" s="6" t="s">
        <v>16</v>
      </c>
      <c r="B11" s="7" t="s">
        <v>17</v>
      </c>
      <c r="C11" s="7"/>
      <c r="D11" s="7"/>
      <c r="E11" s="7"/>
      <c r="F11" s="7"/>
    </row>
    <row r="12" customFormat="false" ht="39.75" hidden="false" customHeight="true" outlineLevel="0" collapsed="false">
      <c r="A12" s="6" t="s">
        <v>18</v>
      </c>
      <c r="B12" s="7" t="s">
        <v>19</v>
      </c>
      <c r="C12" s="7"/>
      <c r="D12" s="7"/>
      <c r="E12" s="7"/>
      <c r="F12" s="7"/>
    </row>
    <row r="13" customFormat="false" ht="39.75" hidden="false" customHeight="true" outlineLevel="0" collapsed="false">
      <c r="A13" s="6" t="s">
        <v>20</v>
      </c>
      <c r="B13" s="7" t="s">
        <v>21</v>
      </c>
      <c r="C13" s="7"/>
      <c r="D13" s="7"/>
      <c r="E13" s="7"/>
      <c r="F13" s="7"/>
    </row>
    <row r="14" customFormat="false" ht="9.75" hidden="false" customHeight="true" outlineLevel="0" collapsed="false">
      <c r="A14" s="8"/>
      <c r="B14" s="9"/>
      <c r="C14" s="9"/>
      <c r="D14" s="9"/>
      <c r="E14" s="9"/>
      <c r="F14" s="9"/>
    </row>
    <row r="15" customFormat="false" ht="39.75" hidden="false" customHeight="true" outlineLevel="0" collapsed="false">
      <c r="A15" s="6" t="s">
        <v>22</v>
      </c>
      <c r="B15" s="7" t="s">
        <v>23</v>
      </c>
      <c r="C15" s="7"/>
      <c r="D15" s="7"/>
      <c r="E15" s="7"/>
      <c r="F15" s="7"/>
    </row>
    <row r="16" customFormat="false" ht="39.75" hidden="false" customHeight="true" outlineLevel="0" collapsed="false">
      <c r="A16" s="6" t="s">
        <v>24</v>
      </c>
      <c r="B16" s="7" t="s">
        <v>25</v>
      </c>
      <c r="C16" s="7"/>
      <c r="D16" s="7"/>
      <c r="E16" s="7"/>
      <c r="F16" s="7"/>
    </row>
    <row r="17" customFormat="false" ht="39.75" hidden="false" customHeight="true" outlineLevel="0" collapsed="false">
      <c r="A17" s="6" t="s">
        <v>26</v>
      </c>
      <c r="B17" s="7" t="s">
        <v>27</v>
      </c>
      <c r="C17" s="7"/>
      <c r="D17" s="7"/>
      <c r="E17" s="7"/>
      <c r="F17" s="7"/>
    </row>
    <row r="18" customFormat="false" ht="39.75" hidden="false" customHeight="true" outlineLevel="0" collapsed="false">
      <c r="A18" s="6" t="s">
        <v>28</v>
      </c>
      <c r="B18" s="7" t="s">
        <v>29</v>
      </c>
      <c r="C18" s="7"/>
      <c r="D18" s="7"/>
      <c r="E18" s="7"/>
      <c r="F18" s="7"/>
    </row>
    <row r="19" customFormat="false" ht="39.75" hidden="false" customHeight="true" outlineLevel="0" collapsed="false">
      <c r="A19" s="6" t="s">
        <v>30</v>
      </c>
      <c r="B19" s="7" t="s">
        <v>31</v>
      </c>
      <c r="C19" s="7"/>
      <c r="D19" s="7"/>
      <c r="E19" s="7"/>
      <c r="F19" s="7"/>
    </row>
    <row r="20" customFormat="false" ht="39.75" hidden="false" customHeight="true" outlineLevel="0" collapsed="false">
      <c r="A20" s="6" t="s">
        <v>32</v>
      </c>
      <c r="B20" s="7" t="s">
        <v>33</v>
      </c>
      <c r="C20" s="7"/>
      <c r="D20" s="7"/>
      <c r="E20" s="7"/>
      <c r="F20" s="7"/>
    </row>
  </sheetData>
  <mergeCells count="21">
    <mergeCell ref="A1:F1"/>
    <mergeCell ref="A2:F2"/>
    <mergeCell ref="B3:C3"/>
    <mergeCell ref="E3:F3"/>
    <mergeCell ref="B4:C4"/>
    <mergeCell ref="E4:F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6" min="6" style="0" width="42"/>
    <col collapsed="false" customWidth="true" hidden="false" outlineLevel="0" max="7" min="7" style="0" width="9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34</v>
      </c>
      <c r="B1" s="1"/>
      <c r="C1" s="1"/>
      <c r="D1" s="1"/>
      <c r="E1" s="1"/>
      <c r="F1" s="1"/>
      <c r="G1" s="1"/>
      <c r="H1" s="1"/>
    </row>
    <row r="2" customFormat="false" ht="11.9" hidden="false" customHeight="false" outlineLevel="0" collapsed="false">
      <c r="A2" s="2" t="s">
        <v>35</v>
      </c>
      <c r="B2" s="2"/>
      <c r="C2" s="2"/>
      <c r="D2" s="2"/>
      <c r="E2" s="2"/>
      <c r="F2" s="2"/>
      <c r="G2" s="2"/>
      <c r="H2" s="2"/>
    </row>
    <row r="4" customFormat="false" ht="36" hidden="false" customHeight="true" outlineLevel="0" collapsed="false">
      <c r="A4" s="10" t="s">
        <v>36</v>
      </c>
      <c r="B4" s="10" t="s">
        <v>37</v>
      </c>
      <c r="C4" s="10" t="s">
        <v>38</v>
      </c>
      <c r="D4" s="10" t="s">
        <v>39</v>
      </c>
      <c r="E4" s="10" t="s">
        <v>40</v>
      </c>
      <c r="F4" s="10" t="s">
        <v>41</v>
      </c>
      <c r="G4" s="10" t="s">
        <v>42</v>
      </c>
      <c r="H4" s="10" t="s">
        <v>43</v>
      </c>
    </row>
    <row r="5" customFormat="false" ht="21.75" hidden="false" customHeight="true" outlineLevel="0" collapsed="false">
      <c r="A5" s="11" t="s">
        <v>44</v>
      </c>
      <c r="B5" s="11"/>
      <c r="C5" s="11"/>
      <c r="D5" s="11"/>
      <c r="E5" s="11"/>
      <c r="F5" s="11"/>
      <c r="G5" s="11"/>
      <c r="H5" s="11"/>
    </row>
    <row r="6" customFormat="false" ht="42" hidden="false" customHeight="true" outlineLevel="0" collapsed="false">
      <c r="A6" s="12" t="s">
        <v>45</v>
      </c>
      <c r="B6" s="13" t="s">
        <v>44</v>
      </c>
      <c r="C6" s="14" t="s">
        <v>46</v>
      </c>
      <c r="D6" s="15" t="s">
        <v>47</v>
      </c>
      <c r="E6" s="13" t="s">
        <v>48</v>
      </c>
      <c r="F6" s="13" t="s">
        <v>49</v>
      </c>
      <c r="G6" s="16" t="s">
        <v>50</v>
      </c>
      <c r="H6" s="13" t="s">
        <v>51</v>
      </c>
    </row>
    <row r="7" customFormat="false" ht="42" hidden="false" customHeight="true" outlineLevel="0" collapsed="false">
      <c r="A7" s="12" t="s">
        <v>52</v>
      </c>
      <c r="B7" s="13" t="s">
        <v>44</v>
      </c>
      <c r="C7" s="14" t="s">
        <v>53</v>
      </c>
      <c r="D7" s="15" t="s">
        <v>47</v>
      </c>
      <c r="E7" s="13" t="s">
        <v>54</v>
      </c>
      <c r="F7" s="13" t="s">
        <v>55</v>
      </c>
      <c r="G7" s="16" t="s">
        <v>50</v>
      </c>
      <c r="H7" s="13" t="s">
        <v>56</v>
      </c>
    </row>
    <row r="8" customFormat="false" ht="42" hidden="false" customHeight="true" outlineLevel="0" collapsed="false">
      <c r="A8" s="12" t="s">
        <v>57</v>
      </c>
      <c r="B8" s="13" t="s">
        <v>44</v>
      </c>
      <c r="C8" s="14" t="s">
        <v>58</v>
      </c>
      <c r="D8" s="15" t="s">
        <v>47</v>
      </c>
      <c r="E8" s="13" t="s">
        <v>59</v>
      </c>
      <c r="F8" s="17" t="s">
        <v>60</v>
      </c>
      <c r="G8" s="16" t="s">
        <v>50</v>
      </c>
      <c r="H8" s="13" t="s">
        <v>61</v>
      </c>
    </row>
    <row r="9" customFormat="false" ht="42" hidden="false" customHeight="true" outlineLevel="0" collapsed="false">
      <c r="A9" s="12" t="s">
        <v>62</v>
      </c>
      <c r="B9" s="13" t="s">
        <v>44</v>
      </c>
      <c r="C9" s="14" t="s">
        <v>63</v>
      </c>
      <c r="D9" s="15" t="s">
        <v>47</v>
      </c>
      <c r="E9" s="13" t="s">
        <v>64</v>
      </c>
      <c r="F9" s="13" t="s">
        <v>65</v>
      </c>
      <c r="G9" s="16" t="s">
        <v>50</v>
      </c>
      <c r="H9" s="13" t="s">
        <v>66</v>
      </c>
    </row>
    <row r="10" customFormat="false" ht="42" hidden="false" customHeight="true" outlineLevel="0" collapsed="false">
      <c r="A10" s="12" t="s">
        <v>67</v>
      </c>
      <c r="B10" s="13" t="s">
        <v>44</v>
      </c>
      <c r="C10" s="14" t="s">
        <v>68</v>
      </c>
      <c r="D10" s="15" t="s">
        <v>47</v>
      </c>
      <c r="E10" s="13" t="s">
        <v>69</v>
      </c>
      <c r="F10" s="13" t="s">
        <v>70</v>
      </c>
      <c r="G10" s="16" t="s">
        <v>50</v>
      </c>
      <c r="H10" s="13" t="s">
        <v>71</v>
      </c>
    </row>
    <row r="11" customFormat="false" ht="42" hidden="false" customHeight="true" outlineLevel="0" collapsed="false">
      <c r="A11" s="12" t="s">
        <v>72</v>
      </c>
      <c r="B11" s="13" t="s">
        <v>44</v>
      </c>
      <c r="C11" s="14" t="s">
        <v>73</v>
      </c>
      <c r="D11" s="15" t="s">
        <v>47</v>
      </c>
      <c r="E11" s="13" t="s">
        <v>74</v>
      </c>
      <c r="F11" s="13" t="s">
        <v>75</v>
      </c>
      <c r="G11" s="16" t="s">
        <v>50</v>
      </c>
      <c r="H11" s="13" t="s">
        <v>76</v>
      </c>
    </row>
    <row r="12" customFormat="false" ht="21.75" hidden="false" customHeight="true" outlineLevel="0" collapsed="false">
      <c r="A12" s="11" t="s">
        <v>77</v>
      </c>
      <c r="B12" s="11"/>
      <c r="C12" s="11"/>
      <c r="D12" s="11"/>
      <c r="E12" s="11"/>
      <c r="F12" s="11"/>
      <c r="G12" s="11"/>
      <c r="H12" s="11"/>
    </row>
    <row r="13" customFormat="false" ht="42" hidden="false" customHeight="true" outlineLevel="0" collapsed="false">
      <c r="A13" s="12" t="s">
        <v>78</v>
      </c>
      <c r="B13" s="13" t="s">
        <v>77</v>
      </c>
      <c r="C13" s="14" t="s">
        <v>79</v>
      </c>
      <c r="D13" s="15" t="s">
        <v>47</v>
      </c>
      <c r="E13" s="13" t="s">
        <v>80</v>
      </c>
      <c r="F13" s="13" t="s">
        <v>81</v>
      </c>
      <c r="G13" s="16" t="s">
        <v>50</v>
      </c>
      <c r="H13" s="13" t="s">
        <v>82</v>
      </c>
    </row>
    <row r="14" customFormat="false" ht="42" hidden="false" customHeight="true" outlineLevel="0" collapsed="false">
      <c r="A14" s="12" t="s">
        <v>83</v>
      </c>
      <c r="B14" s="13" t="s">
        <v>77</v>
      </c>
      <c r="C14" s="14" t="s">
        <v>84</v>
      </c>
      <c r="D14" s="15" t="s">
        <v>47</v>
      </c>
      <c r="E14" s="13" t="s">
        <v>85</v>
      </c>
      <c r="F14" s="13" t="s">
        <v>86</v>
      </c>
      <c r="G14" s="16" t="s">
        <v>50</v>
      </c>
      <c r="H14" s="13" t="s">
        <v>87</v>
      </c>
    </row>
    <row r="15" customFormat="false" ht="42" hidden="false" customHeight="true" outlineLevel="0" collapsed="false">
      <c r="A15" s="12" t="s">
        <v>88</v>
      </c>
      <c r="B15" s="13" t="s">
        <v>77</v>
      </c>
      <c r="C15" s="14" t="s">
        <v>89</v>
      </c>
      <c r="D15" s="15" t="s">
        <v>47</v>
      </c>
      <c r="E15" s="13" t="s">
        <v>90</v>
      </c>
      <c r="F15" s="13" t="s">
        <v>91</v>
      </c>
      <c r="G15" s="16" t="s">
        <v>92</v>
      </c>
      <c r="H15" s="13" t="s">
        <v>93</v>
      </c>
    </row>
    <row r="16" customFormat="false" ht="42" hidden="false" customHeight="true" outlineLevel="0" collapsed="false">
      <c r="A16" s="12" t="s">
        <v>94</v>
      </c>
      <c r="B16" s="13" t="s">
        <v>77</v>
      </c>
      <c r="C16" s="14" t="s">
        <v>95</v>
      </c>
      <c r="D16" s="15" t="s">
        <v>47</v>
      </c>
      <c r="E16" s="13" t="s">
        <v>96</v>
      </c>
      <c r="F16" s="13" t="s">
        <v>97</v>
      </c>
      <c r="G16" s="16" t="s">
        <v>98</v>
      </c>
      <c r="H16" s="13" t="s">
        <v>99</v>
      </c>
    </row>
    <row r="17" customFormat="false" ht="42" hidden="false" customHeight="true" outlineLevel="0" collapsed="false">
      <c r="A17" s="12" t="s">
        <v>100</v>
      </c>
      <c r="B17" s="13" t="s">
        <v>77</v>
      </c>
      <c r="C17" s="14" t="s">
        <v>101</v>
      </c>
      <c r="D17" s="15" t="s">
        <v>47</v>
      </c>
      <c r="E17" s="13" t="s">
        <v>102</v>
      </c>
      <c r="F17" s="17" t="s">
        <v>103</v>
      </c>
      <c r="G17" s="16" t="s">
        <v>104</v>
      </c>
      <c r="H17" s="13" t="s">
        <v>87</v>
      </c>
    </row>
    <row r="18" customFormat="false" ht="21.75" hidden="false" customHeight="true" outlineLevel="0" collapsed="false">
      <c r="A18" s="11" t="s">
        <v>105</v>
      </c>
      <c r="B18" s="11"/>
      <c r="C18" s="11"/>
      <c r="D18" s="11"/>
      <c r="E18" s="11"/>
      <c r="F18" s="11"/>
      <c r="G18" s="11"/>
      <c r="H18" s="11"/>
    </row>
    <row r="19" customFormat="false" ht="42" hidden="false" customHeight="true" outlineLevel="0" collapsed="false">
      <c r="A19" s="12" t="s">
        <v>106</v>
      </c>
      <c r="B19" s="13" t="s">
        <v>105</v>
      </c>
      <c r="C19" s="14" t="s">
        <v>107</v>
      </c>
      <c r="D19" s="15" t="s">
        <v>47</v>
      </c>
      <c r="E19" s="13" t="s">
        <v>108</v>
      </c>
      <c r="F19" s="17" t="s">
        <v>109</v>
      </c>
      <c r="G19" s="16" t="s">
        <v>50</v>
      </c>
      <c r="H19" s="13" t="s">
        <v>110</v>
      </c>
    </row>
    <row r="20" customFormat="false" ht="42" hidden="false" customHeight="true" outlineLevel="0" collapsed="false">
      <c r="A20" s="12" t="s">
        <v>111</v>
      </c>
      <c r="B20" s="13" t="s">
        <v>105</v>
      </c>
      <c r="C20" s="14" t="s">
        <v>112</v>
      </c>
      <c r="D20" s="15" t="s">
        <v>47</v>
      </c>
      <c r="E20" s="13" t="s">
        <v>113</v>
      </c>
      <c r="F20" s="13" t="s">
        <v>114</v>
      </c>
      <c r="G20" s="16" t="s">
        <v>50</v>
      </c>
      <c r="H20" s="13" t="s">
        <v>115</v>
      </c>
    </row>
    <row r="21" customFormat="false" ht="42" hidden="false" customHeight="true" outlineLevel="0" collapsed="false">
      <c r="A21" s="12" t="s">
        <v>116</v>
      </c>
      <c r="B21" s="13" t="s">
        <v>105</v>
      </c>
      <c r="C21" s="14" t="s">
        <v>117</v>
      </c>
      <c r="D21" s="15" t="s">
        <v>47</v>
      </c>
      <c r="E21" s="13" t="s">
        <v>118</v>
      </c>
      <c r="F21" s="13" t="s">
        <v>119</v>
      </c>
      <c r="G21" s="16" t="s">
        <v>50</v>
      </c>
      <c r="H21" s="13" t="s">
        <v>120</v>
      </c>
    </row>
    <row r="22" customFormat="false" ht="42" hidden="false" customHeight="true" outlineLevel="0" collapsed="false">
      <c r="A22" s="12" t="s">
        <v>121</v>
      </c>
      <c r="B22" s="13" t="s">
        <v>105</v>
      </c>
      <c r="C22" s="14" t="s">
        <v>122</v>
      </c>
      <c r="D22" s="15" t="s">
        <v>47</v>
      </c>
      <c r="E22" s="13" t="s">
        <v>123</v>
      </c>
      <c r="F22" s="13" t="s">
        <v>124</v>
      </c>
      <c r="G22" s="16" t="s">
        <v>98</v>
      </c>
      <c r="H22" s="13" t="s">
        <v>125</v>
      </c>
    </row>
    <row r="23" customFormat="false" ht="42" hidden="false" customHeight="true" outlineLevel="0" collapsed="false">
      <c r="A23" s="12" t="s">
        <v>126</v>
      </c>
      <c r="B23" s="13" t="s">
        <v>105</v>
      </c>
      <c r="C23" s="14" t="s">
        <v>127</v>
      </c>
      <c r="D23" s="15" t="s">
        <v>47</v>
      </c>
      <c r="E23" s="13" t="s">
        <v>128</v>
      </c>
      <c r="F23" s="13" t="s">
        <v>129</v>
      </c>
      <c r="G23" s="16" t="s">
        <v>50</v>
      </c>
      <c r="H23" s="13" t="s">
        <v>130</v>
      </c>
    </row>
    <row r="24" customFormat="false" ht="42" hidden="false" customHeight="true" outlineLevel="0" collapsed="false">
      <c r="A24" s="12" t="s">
        <v>131</v>
      </c>
      <c r="B24" s="13" t="s">
        <v>105</v>
      </c>
      <c r="C24" s="14" t="s">
        <v>132</v>
      </c>
      <c r="D24" s="15" t="s">
        <v>47</v>
      </c>
      <c r="E24" s="13" t="s">
        <v>133</v>
      </c>
      <c r="F24" s="13" t="s">
        <v>134</v>
      </c>
      <c r="G24" s="16" t="s">
        <v>104</v>
      </c>
      <c r="H24" s="13" t="s">
        <v>135</v>
      </c>
    </row>
    <row r="25" customFormat="false" ht="42" hidden="false" customHeight="true" outlineLevel="0" collapsed="false">
      <c r="A25" s="12" t="s">
        <v>136</v>
      </c>
      <c r="B25" s="13" t="s">
        <v>105</v>
      </c>
      <c r="C25" s="14" t="s">
        <v>137</v>
      </c>
      <c r="D25" s="15" t="s">
        <v>47</v>
      </c>
      <c r="E25" s="13" t="s">
        <v>138</v>
      </c>
      <c r="F25" s="17" t="s">
        <v>139</v>
      </c>
      <c r="G25" s="16" t="s">
        <v>50</v>
      </c>
      <c r="H25" s="13" t="s">
        <v>140</v>
      </c>
    </row>
    <row r="26" customFormat="false" ht="21.75" hidden="false" customHeight="true" outlineLevel="0" collapsed="false">
      <c r="A26" s="11" t="s">
        <v>141</v>
      </c>
      <c r="B26" s="11"/>
      <c r="C26" s="11"/>
      <c r="D26" s="11"/>
      <c r="E26" s="11"/>
      <c r="F26" s="11"/>
      <c r="G26" s="11"/>
      <c r="H26" s="11"/>
    </row>
    <row r="27" customFormat="false" ht="42" hidden="false" customHeight="true" outlineLevel="0" collapsed="false">
      <c r="A27" s="12" t="s">
        <v>142</v>
      </c>
      <c r="B27" s="13" t="s">
        <v>141</v>
      </c>
      <c r="C27" s="14" t="s">
        <v>143</v>
      </c>
      <c r="D27" s="15" t="s">
        <v>47</v>
      </c>
      <c r="E27" s="13" t="s">
        <v>144</v>
      </c>
      <c r="F27" s="13" t="s">
        <v>145</v>
      </c>
      <c r="G27" s="16" t="s">
        <v>50</v>
      </c>
      <c r="H27" s="13" t="s">
        <v>146</v>
      </c>
    </row>
    <row r="28" customFormat="false" ht="42" hidden="false" customHeight="true" outlineLevel="0" collapsed="false">
      <c r="A28" s="12" t="s">
        <v>147</v>
      </c>
      <c r="B28" s="13" t="s">
        <v>141</v>
      </c>
      <c r="C28" s="14" t="s">
        <v>148</v>
      </c>
      <c r="D28" s="15" t="s">
        <v>47</v>
      </c>
      <c r="E28" s="13" t="s">
        <v>149</v>
      </c>
      <c r="F28" s="13" t="s">
        <v>150</v>
      </c>
      <c r="G28" s="16" t="s">
        <v>50</v>
      </c>
      <c r="H28" s="13" t="s">
        <v>151</v>
      </c>
    </row>
    <row r="29" customFormat="false" ht="42" hidden="false" customHeight="true" outlineLevel="0" collapsed="false">
      <c r="A29" s="12" t="s">
        <v>152</v>
      </c>
      <c r="B29" s="13" t="s">
        <v>141</v>
      </c>
      <c r="C29" s="14" t="s">
        <v>153</v>
      </c>
      <c r="D29" s="15" t="s">
        <v>47</v>
      </c>
      <c r="E29" s="13" t="s">
        <v>154</v>
      </c>
      <c r="F29" s="13" t="s">
        <v>155</v>
      </c>
      <c r="G29" s="16" t="s">
        <v>104</v>
      </c>
      <c r="H29" s="13" t="s">
        <v>156</v>
      </c>
    </row>
    <row r="30" customFormat="false" ht="42" hidden="false" customHeight="true" outlineLevel="0" collapsed="false">
      <c r="A30" s="12" t="s">
        <v>157</v>
      </c>
      <c r="B30" s="13" t="s">
        <v>141</v>
      </c>
      <c r="C30" s="14" t="s">
        <v>158</v>
      </c>
      <c r="D30" s="15" t="s">
        <v>47</v>
      </c>
      <c r="E30" s="13" t="s">
        <v>159</v>
      </c>
      <c r="F30" s="13" t="s">
        <v>160</v>
      </c>
      <c r="G30" s="16" t="s">
        <v>50</v>
      </c>
      <c r="H30" s="13" t="s">
        <v>161</v>
      </c>
    </row>
    <row r="31" customFormat="false" ht="21.75" hidden="false" customHeight="true" outlineLevel="0" collapsed="false">
      <c r="A31" s="11" t="s">
        <v>162</v>
      </c>
      <c r="B31" s="11"/>
      <c r="C31" s="11"/>
      <c r="D31" s="11"/>
      <c r="E31" s="11"/>
      <c r="F31" s="11"/>
      <c r="G31" s="11"/>
      <c r="H31" s="11"/>
    </row>
    <row r="32" customFormat="false" ht="42" hidden="false" customHeight="true" outlineLevel="0" collapsed="false">
      <c r="A32" s="12" t="s">
        <v>163</v>
      </c>
      <c r="B32" s="13" t="s">
        <v>162</v>
      </c>
      <c r="C32" s="14" t="s">
        <v>164</v>
      </c>
      <c r="D32" s="15" t="s">
        <v>47</v>
      </c>
      <c r="E32" s="13" t="s">
        <v>165</v>
      </c>
      <c r="F32" s="13" t="s">
        <v>166</v>
      </c>
      <c r="G32" s="16" t="s">
        <v>50</v>
      </c>
      <c r="H32" s="13" t="s">
        <v>167</v>
      </c>
    </row>
    <row r="33" customFormat="false" ht="42" hidden="false" customHeight="true" outlineLevel="0" collapsed="false">
      <c r="A33" s="12" t="s">
        <v>168</v>
      </c>
      <c r="B33" s="13" t="s">
        <v>162</v>
      </c>
      <c r="C33" s="14" t="s">
        <v>169</v>
      </c>
      <c r="D33" s="15" t="s">
        <v>47</v>
      </c>
      <c r="E33" s="13" t="s">
        <v>170</v>
      </c>
      <c r="F33" s="13" t="s">
        <v>171</v>
      </c>
      <c r="G33" s="16" t="s">
        <v>104</v>
      </c>
      <c r="H33" s="13" t="s">
        <v>167</v>
      </c>
    </row>
    <row r="34" customFormat="false" ht="42" hidden="false" customHeight="true" outlineLevel="0" collapsed="false">
      <c r="A34" s="12" t="s">
        <v>172</v>
      </c>
      <c r="B34" s="13" t="s">
        <v>162</v>
      </c>
      <c r="C34" s="14" t="s">
        <v>173</v>
      </c>
      <c r="D34" s="15" t="s">
        <v>47</v>
      </c>
      <c r="E34" s="13" t="s">
        <v>174</v>
      </c>
      <c r="F34" s="13" t="s">
        <v>175</v>
      </c>
      <c r="G34" s="16" t="s">
        <v>50</v>
      </c>
      <c r="H34" s="13" t="s">
        <v>176</v>
      </c>
    </row>
  </sheetData>
  <mergeCells count="7">
    <mergeCell ref="A1:H1"/>
    <mergeCell ref="A2:H2"/>
    <mergeCell ref="A5:H5"/>
    <mergeCell ref="A12:H12"/>
    <mergeCell ref="A18:H18"/>
    <mergeCell ref="A26:H26"/>
    <mergeCell ref="A31:H31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6" min="6" style="0" width="20"/>
    <col collapsed="false" customWidth="true" hidden="false" outlineLevel="0" max="7" min="7" style="0" width="5"/>
    <col collapsed="false" customWidth="true" hidden="false" outlineLevel="0" max="8" min="8" style="0" width="24"/>
    <col collapsed="false" customWidth="true" hidden="false" outlineLevel="0" max="9" min="9" style="0" width="5"/>
    <col collapsed="false" customWidth="true" hidden="false" outlineLevel="0" max="10" min="10" style="0" width="24"/>
    <col collapsed="false" customWidth="true" hidden="false" outlineLevel="0" max="11" min="11" style="0" width="5"/>
    <col collapsed="false" customWidth="true" hidden="false" outlineLevel="0" max="12" min="12" style="0" width="24"/>
    <col collapsed="false" customWidth="true" hidden="false" outlineLevel="0" max="13" min="13" style="0" width="7"/>
    <col collapsed="false" customWidth="true" hidden="false" outlineLevel="0" max="14" min="14" style="0" width="12"/>
    <col collapsed="false" customWidth="true" hidden="false" outlineLevel="0" max="15" min="15" style="0" width="11"/>
  </cols>
  <sheetData>
    <row r="1" customFormat="false" ht="30" hidden="false" customHeight="true" outlineLevel="0" collapsed="false">
      <c r="A1" s="1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1.9" hidden="false" customHeight="false" outlineLevel="0" collapsed="false">
      <c r="A2" s="2" t="s">
        <v>178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6" hidden="false" customHeight="true" outlineLevel="0" collapsed="false">
      <c r="A4" s="10" t="s">
        <v>36</v>
      </c>
      <c r="B4" s="10" t="s">
        <v>179</v>
      </c>
      <c r="C4" s="10" t="s">
        <v>180</v>
      </c>
      <c r="D4" s="10" t="s">
        <v>181</v>
      </c>
      <c r="E4" s="10" t="s">
        <v>182</v>
      </c>
      <c r="F4" s="10" t="s">
        <v>183</v>
      </c>
      <c r="G4" s="10" t="s">
        <v>184</v>
      </c>
      <c r="H4" s="10" t="s">
        <v>185</v>
      </c>
      <c r="I4" s="10" t="s">
        <v>186</v>
      </c>
      <c r="J4" s="10" t="s">
        <v>187</v>
      </c>
      <c r="K4" s="10" t="s">
        <v>188</v>
      </c>
      <c r="L4" s="10" t="s">
        <v>189</v>
      </c>
      <c r="M4" s="10" t="s">
        <v>190</v>
      </c>
      <c r="N4" s="10" t="s">
        <v>24</v>
      </c>
      <c r="O4" s="10" t="s">
        <v>191</v>
      </c>
    </row>
    <row r="5" customFormat="false" ht="63.75" hidden="false" customHeight="true" outlineLevel="0" collapsed="false">
      <c r="A5" s="12" t="s">
        <v>45</v>
      </c>
      <c r="B5" s="14" t="s">
        <v>46</v>
      </c>
      <c r="C5" s="13" t="s">
        <v>192</v>
      </c>
      <c r="D5" s="13" t="s">
        <v>193</v>
      </c>
      <c r="E5" s="13" t="s">
        <v>194</v>
      </c>
      <c r="F5" s="13" t="s">
        <v>195</v>
      </c>
      <c r="G5" s="18" t="n">
        <v>6</v>
      </c>
      <c r="H5" s="13" t="s">
        <v>196</v>
      </c>
      <c r="I5" s="18" t="n">
        <v>5</v>
      </c>
      <c r="J5" s="17" t="s">
        <v>197</v>
      </c>
      <c r="K5" s="18" t="n">
        <v>7</v>
      </c>
      <c r="L5" s="13" t="s">
        <v>198</v>
      </c>
      <c r="M5" s="19" t="n">
        <f aca="false">G5*I5*K5</f>
        <v>210</v>
      </c>
      <c r="N5" s="12" t="str">
        <f aca="false">IF(G5&gt;=9,"CRITICAL",IF(AND(G5&gt;=7,M5&gt;=200),"CRITICAL",IF(OR(G5&gt;=7,M5&gt;=150,I5&gt;=7),"HIGH",IF(K5&gt;=8,"MEDIUM","LOW"))))</f>
        <v>HIGH</v>
      </c>
      <c r="O5" s="12" t="str">
        <f aca="false">IF(COUNTIF(AM_Standard!$B:$B,A5)&gt;0,"✓","ขาด")</f>
        <v>✓</v>
      </c>
    </row>
    <row r="6" customFormat="false" ht="63.75" hidden="false" customHeight="true" outlineLevel="0" collapsed="false">
      <c r="A6" s="12" t="s">
        <v>52</v>
      </c>
      <c r="B6" s="14" t="s">
        <v>53</v>
      </c>
      <c r="C6" s="13" t="s">
        <v>199</v>
      </c>
      <c r="D6" s="13" t="s">
        <v>200</v>
      </c>
      <c r="E6" s="13" t="s">
        <v>201</v>
      </c>
      <c r="F6" s="13" t="s">
        <v>202</v>
      </c>
      <c r="G6" s="18" t="n">
        <v>8</v>
      </c>
      <c r="H6" s="13" t="s">
        <v>203</v>
      </c>
      <c r="I6" s="18" t="n">
        <v>5</v>
      </c>
      <c r="J6" s="17" t="s">
        <v>204</v>
      </c>
      <c r="K6" s="18" t="n">
        <v>7</v>
      </c>
      <c r="L6" s="13" t="s">
        <v>205</v>
      </c>
      <c r="M6" s="19" t="n">
        <f aca="false">G6*I6*K6</f>
        <v>280</v>
      </c>
      <c r="N6" s="12" t="str">
        <f aca="false">IF(G6&gt;=9,"CRITICAL",IF(AND(G6&gt;=7,M6&gt;=200),"CRITICAL",IF(OR(G6&gt;=7,M6&gt;=150,I6&gt;=7),"HIGH",IF(K6&gt;=8,"MEDIUM","LOW"))))</f>
        <v>CRITICAL</v>
      </c>
      <c r="O6" s="12" t="str">
        <f aca="false">IF(COUNTIF(AM_Standard!$B:$B,A6)&gt;0,"✓","ขาด")</f>
        <v>✓</v>
      </c>
    </row>
    <row r="7" customFormat="false" ht="63.75" hidden="false" customHeight="true" outlineLevel="0" collapsed="false">
      <c r="A7" s="12" t="s">
        <v>57</v>
      </c>
      <c r="B7" s="14" t="s">
        <v>58</v>
      </c>
      <c r="C7" s="13" t="s">
        <v>206</v>
      </c>
      <c r="D7" s="13" t="s">
        <v>207</v>
      </c>
      <c r="E7" s="13" t="s">
        <v>208</v>
      </c>
      <c r="F7" s="13" t="s">
        <v>209</v>
      </c>
      <c r="G7" s="18" t="n">
        <v>7</v>
      </c>
      <c r="H7" s="13" t="s">
        <v>210</v>
      </c>
      <c r="I7" s="18" t="n">
        <v>5</v>
      </c>
      <c r="J7" s="17" t="s">
        <v>211</v>
      </c>
      <c r="K7" s="18" t="n">
        <v>8</v>
      </c>
      <c r="L7" s="13" t="s">
        <v>212</v>
      </c>
      <c r="M7" s="19" t="n">
        <f aca="false">G7*I7*K7</f>
        <v>280</v>
      </c>
      <c r="N7" s="12" t="str">
        <f aca="false">IF(G7&gt;=9,"CRITICAL",IF(AND(G7&gt;=7,M7&gt;=200),"CRITICAL",IF(OR(G7&gt;=7,M7&gt;=150,I7&gt;=7),"HIGH",IF(K7&gt;=8,"MEDIUM","LOW"))))</f>
        <v>CRITICAL</v>
      </c>
      <c r="O7" s="12" t="str">
        <f aca="false">IF(COUNTIF(AM_Standard!$B:$B,A7)&gt;0,"✓","ขาด")</f>
        <v>✓</v>
      </c>
    </row>
    <row r="8" customFormat="false" ht="63.75" hidden="false" customHeight="true" outlineLevel="0" collapsed="false">
      <c r="A8" s="12" t="s">
        <v>62</v>
      </c>
      <c r="B8" s="14" t="s">
        <v>63</v>
      </c>
      <c r="C8" s="13" t="s">
        <v>213</v>
      </c>
      <c r="D8" s="13" t="s">
        <v>214</v>
      </c>
      <c r="E8" s="17" t="s">
        <v>215</v>
      </c>
      <c r="F8" s="13" t="s">
        <v>216</v>
      </c>
      <c r="G8" s="18" t="n">
        <v>7</v>
      </c>
      <c r="H8" s="13" t="s">
        <v>210</v>
      </c>
      <c r="I8" s="18" t="n">
        <v>5</v>
      </c>
      <c r="J8" s="17" t="s">
        <v>211</v>
      </c>
      <c r="K8" s="18" t="n">
        <v>5</v>
      </c>
      <c r="L8" s="13" t="s">
        <v>217</v>
      </c>
      <c r="M8" s="19" t="n">
        <f aca="false">G8*I8*K8</f>
        <v>175</v>
      </c>
      <c r="N8" s="12" t="str">
        <f aca="false">IF(G8&gt;=9,"CRITICAL",IF(AND(G8&gt;=7,M8&gt;=200),"CRITICAL",IF(OR(G8&gt;=7,M8&gt;=150,I8&gt;=7),"HIGH",IF(K8&gt;=8,"MEDIUM","LOW"))))</f>
        <v>HIGH</v>
      </c>
      <c r="O8" s="12" t="str">
        <f aca="false">IF(COUNTIF(AM_Standard!$B:$B,A8)&gt;0,"✓","ขาด")</f>
        <v>✓</v>
      </c>
    </row>
    <row r="9" customFormat="false" ht="63.75" hidden="false" customHeight="true" outlineLevel="0" collapsed="false">
      <c r="A9" s="12" t="s">
        <v>67</v>
      </c>
      <c r="B9" s="14" t="s">
        <v>68</v>
      </c>
      <c r="C9" s="13" t="s">
        <v>218</v>
      </c>
      <c r="D9" s="13" t="s">
        <v>219</v>
      </c>
      <c r="E9" s="13" t="s">
        <v>220</v>
      </c>
      <c r="F9" s="13" t="s">
        <v>221</v>
      </c>
      <c r="G9" s="18" t="n">
        <v>6</v>
      </c>
      <c r="H9" s="13" t="s">
        <v>222</v>
      </c>
      <c r="I9" s="18" t="n">
        <v>6</v>
      </c>
      <c r="J9" s="17" t="s">
        <v>223</v>
      </c>
      <c r="K9" s="18" t="n">
        <v>7</v>
      </c>
      <c r="L9" s="13" t="s">
        <v>224</v>
      </c>
      <c r="M9" s="19" t="n">
        <f aca="false">G9*I9*K9</f>
        <v>252</v>
      </c>
      <c r="N9" s="12" t="str">
        <f aca="false">IF(G9&gt;=9,"CRITICAL",IF(AND(G9&gt;=7,M9&gt;=200),"CRITICAL",IF(OR(G9&gt;=7,M9&gt;=150,I9&gt;=7),"HIGH",IF(K9&gt;=8,"MEDIUM","LOW"))))</f>
        <v>HIGH</v>
      </c>
      <c r="O9" s="12" t="str">
        <f aca="false">IF(COUNTIF(AM_Standard!$B:$B,A9)&gt;0,"✓","ขาด")</f>
        <v>✓</v>
      </c>
    </row>
    <row r="10" customFormat="false" ht="63.75" hidden="false" customHeight="true" outlineLevel="0" collapsed="false">
      <c r="A10" s="12" t="s">
        <v>72</v>
      </c>
      <c r="B10" s="14" t="s">
        <v>73</v>
      </c>
      <c r="C10" s="13" t="s">
        <v>225</v>
      </c>
      <c r="D10" s="13" t="s">
        <v>226</v>
      </c>
      <c r="E10" s="13" t="s">
        <v>227</v>
      </c>
      <c r="F10" s="13" t="s">
        <v>228</v>
      </c>
      <c r="G10" s="18" t="n">
        <v>8</v>
      </c>
      <c r="H10" s="13" t="s">
        <v>203</v>
      </c>
      <c r="I10" s="18" t="n">
        <v>5</v>
      </c>
      <c r="J10" s="17" t="s">
        <v>211</v>
      </c>
      <c r="K10" s="18" t="n">
        <v>6</v>
      </c>
      <c r="L10" s="13" t="s">
        <v>229</v>
      </c>
      <c r="M10" s="19" t="n">
        <f aca="false">G10*I10*K10</f>
        <v>240</v>
      </c>
      <c r="N10" s="12" t="str">
        <f aca="false">IF(G10&gt;=9,"CRITICAL",IF(AND(G10&gt;=7,M10&gt;=200),"CRITICAL",IF(OR(G10&gt;=7,M10&gt;=150,I10&gt;=7),"HIGH",IF(K10&gt;=8,"MEDIUM","LOW"))))</f>
        <v>CRITICAL</v>
      </c>
      <c r="O10" s="12" t="str">
        <f aca="false">IF(COUNTIF(AM_Standard!$B:$B,A10)&gt;0,"✓","ขาด")</f>
        <v>✓</v>
      </c>
    </row>
    <row r="11" customFormat="false" ht="63.75" hidden="false" customHeight="true" outlineLevel="0" collapsed="false">
      <c r="A11" s="12" t="s">
        <v>78</v>
      </c>
      <c r="B11" s="14" t="s">
        <v>79</v>
      </c>
      <c r="C11" s="13" t="s">
        <v>230</v>
      </c>
      <c r="D11" s="13" t="s">
        <v>231</v>
      </c>
      <c r="E11" s="13" t="s">
        <v>232</v>
      </c>
      <c r="F11" s="13" t="s">
        <v>233</v>
      </c>
      <c r="G11" s="18" t="n">
        <v>8</v>
      </c>
      <c r="H11" s="13" t="s">
        <v>203</v>
      </c>
      <c r="I11" s="18" t="n">
        <v>4</v>
      </c>
      <c r="J11" s="17" t="s">
        <v>234</v>
      </c>
      <c r="K11" s="18" t="n">
        <v>7</v>
      </c>
      <c r="L11" s="13" t="s">
        <v>235</v>
      </c>
      <c r="M11" s="19" t="n">
        <f aca="false">G11*I11*K11</f>
        <v>224</v>
      </c>
      <c r="N11" s="12" t="str">
        <f aca="false">IF(G11&gt;=9,"CRITICAL",IF(AND(G11&gt;=7,M11&gt;=200),"CRITICAL",IF(OR(G11&gt;=7,M11&gt;=150,I11&gt;=7),"HIGH",IF(K11&gt;=8,"MEDIUM","LOW"))))</f>
        <v>CRITICAL</v>
      </c>
      <c r="O11" s="12" t="str">
        <f aca="false">IF(COUNTIF(AM_Standard!$B:$B,A11)&gt;0,"✓","ขาด")</f>
        <v>✓</v>
      </c>
    </row>
    <row r="12" customFormat="false" ht="63.75" hidden="false" customHeight="true" outlineLevel="0" collapsed="false">
      <c r="A12" s="12" t="s">
        <v>83</v>
      </c>
      <c r="B12" s="14" t="s">
        <v>84</v>
      </c>
      <c r="C12" s="13" t="s">
        <v>236</v>
      </c>
      <c r="D12" s="13" t="s">
        <v>237</v>
      </c>
      <c r="E12" s="13" t="s">
        <v>238</v>
      </c>
      <c r="F12" s="13" t="s">
        <v>239</v>
      </c>
      <c r="G12" s="18" t="n">
        <v>7</v>
      </c>
      <c r="H12" s="13" t="s">
        <v>210</v>
      </c>
      <c r="I12" s="18" t="n">
        <v>4</v>
      </c>
      <c r="J12" s="17" t="s">
        <v>240</v>
      </c>
      <c r="K12" s="18" t="n">
        <v>8</v>
      </c>
      <c r="L12" s="13" t="s">
        <v>241</v>
      </c>
      <c r="M12" s="19" t="n">
        <f aca="false">G12*I12*K12</f>
        <v>224</v>
      </c>
      <c r="N12" s="12" t="str">
        <f aca="false">IF(G12&gt;=9,"CRITICAL",IF(AND(G12&gt;=7,M12&gt;=200),"CRITICAL",IF(OR(G12&gt;=7,M12&gt;=150,I12&gt;=7),"HIGH",IF(K12&gt;=8,"MEDIUM","LOW"))))</f>
        <v>CRITICAL</v>
      </c>
      <c r="O12" s="12" t="str">
        <f aca="false">IF(COUNTIF(AM_Standard!$B:$B,A12)&gt;0,"✓","ขาด")</f>
        <v>✓</v>
      </c>
    </row>
    <row r="13" customFormat="false" ht="63.75" hidden="false" customHeight="true" outlineLevel="0" collapsed="false">
      <c r="A13" s="12" t="s">
        <v>88</v>
      </c>
      <c r="B13" s="14" t="s">
        <v>89</v>
      </c>
      <c r="C13" s="13" t="s">
        <v>242</v>
      </c>
      <c r="D13" s="13" t="s">
        <v>243</v>
      </c>
      <c r="E13" s="13" t="s">
        <v>244</v>
      </c>
      <c r="F13" s="13" t="s">
        <v>245</v>
      </c>
      <c r="G13" s="18" t="n">
        <v>7</v>
      </c>
      <c r="H13" s="13" t="s">
        <v>210</v>
      </c>
      <c r="I13" s="18" t="n">
        <v>5</v>
      </c>
      <c r="J13" s="17" t="s">
        <v>211</v>
      </c>
      <c r="K13" s="18" t="n">
        <v>7</v>
      </c>
      <c r="L13" s="13" t="s">
        <v>246</v>
      </c>
      <c r="M13" s="19" t="n">
        <f aca="false">G13*I13*K13</f>
        <v>245</v>
      </c>
      <c r="N13" s="12" t="str">
        <f aca="false">IF(G13&gt;=9,"CRITICAL",IF(AND(G13&gt;=7,M13&gt;=200),"CRITICAL",IF(OR(G13&gt;=7,M13&gt;=150,I13&gt;=7),"HIGH",IF(K13&gt;=8,"MEDIUM","LOW"))))</f>
        <v>CRITICAL</v>
      </c>
      <c r="O13" s="12" t="str">
        <f aca="false">IF(COUNTIF(AM_Standard!$B:$B,A13)&gt;0,"✓","ขาด")</f>
        <v>✓</v>
      </c>
    </row>
    <row r="14" customFormat="false" ht="63.75" hidden="false" customHeight="true" outlineLevel="0" collapsed="false">
      <c r="A14" s="12" t="s">
        <v>94</v>
      </c>
      <c r="B14" s="14" t="s">
        <v>95</v>
      </c>
      <c r="C14" s="13" t="s">
        <v>247</v>
      </c>
      <c r="D14" s="17" t="s">
        <v>248</v>
      </c>
      <c r="E14" s="17" t="s">
        <v>249</v>
      </c>
      <c r="F14" s="13" t="s">
        <v>216</v>
      </c>
      <c r="G14" s="18" t="n">
        <v>8</v>
      </c>
      <c r="H14" s="13" t="s">
        <v>203</v>
      </c>
      <c r="I14" s="18" t="n">
        <v>3</v>
      </c>
      <c r="J14" s="17" t="s">
        <v>250</v>
      </c>
      <c r="K14" s="18" t="n">
        <v>7</v>
      </c>
      <c r="L14" s="13" t="s">
        <v>251</v>
      </c>
      <c r="M14" s="19" t="n">
        <f aca="false">G14*I14*K14</f>
        <v>168</v>
      </c>
      <c r="N14" s="12" t="str">
        <f aca="false">IF(G14&gt;=9,"CRITICAL",IF(AND(G14&gt;=7,M14&gt;=200),"CRITICAL",IF(OR(G14&gt;=7,M14&gt;=150,I14&gt;=7),"HIGH",IF(K14&gt;=8,"MEDIUM","LOW"))))</f>
        <v>HIGH</v>
      </c>
      <c r="O14" s="12" t="str">
        <f aca="false">IF(COUNTIF(AM_Standard!$B:$B,A14)&gt;0,"✓","ขาด")</f>
        <v>✓</v>
      </c>
    </row>
    <row r="15" customFormat="false" ht="63.75" hidden="false" customHeight="true" outlineLevel="0" collapsed="false">
      <c r="A15" s="12" t="s">
        <v>100</v>
      </c>
      <c r="B15" s="14" t="s">
        <v>101</v>
      </c>
      <c r="C15" s="13" t="s">
        <v>252</v>
      </c>
      <c r="D15" s="13" t="s">
        <v>253</v>
      </c>
      <c r="E15" s="13" t="s">
        <v>254</v>
      </c>
      <c r="F15" s="13" t="s">
        <v>255</v>
      </c>
      <c r="G15" s="18" t="n">
        <v>7</v>
      </c>
      <c r="H15" s="13" t="s">
        <v>210</v>
      </c>
      <c r="I15" s="18" t="n">
        <v>3</v>
      </c>
      <c r="J15" s="17" t="s">
        <v>256</v>
      </c>
      <c r="K15" s="18" t="n">
        <v>8</v>
      </c>
      <c r="L15" s="13" t="s">
        <v>257</v>
      </c>
      <c r="M15" s="19" t="n">
        <f aca="false">G15*I15*K15</f>
        <v>168</v>
      </c>
      <c r="N15" s="12" t="str">
        <f aca="false">IF(G15&gt;=9,"CRITICAL",IF(AND(G15&gt;=7,M15&gt;=200),"CRITICAL",IF(OR(G15&gt;=7,M15&gt;=150,I15&gt;=7),"HIGH",IF(K15&gt;=8,"MEDIUM","LOW"))))</f>
        <v>HIGH</v>
      </c>
      <c r="O15" s="12" t="str">
        <f aca="false">IF(COUNTIF(AM_Standard!$B:$B,A15)&gt;0,"✓","ขาด")</f>
        <v>✓</v>
      </c>
    </row>
    <row r="16" customFormat="false" ht="63.75" hidden="false" customHeight="true" outlineLevel="0" collapsed="false">
      <c r="A16" s="12" t="s">
        <v>106</v>
      </c>
      <c r="B16" s="14" t="s">
        <v>107</v>
      </c>
      <c r="C16" s="13" t="s">
        <v>258</v>
      </c>
      <c r="D16" s="13" t="s">
        <v>259</v>
      </c>
      <c r="E16" s="13" t="s">
        <v>260</v>
      </c>
      <c r="F16" s="13" t="s">
        <v>261</v>
      </c>
      <c r="G16" s="18" t="n">
        <v>8</v>
      </c>
      <c r="H16" s="13" t="s">
        <v>262</v>
      </c>
      <c r="I16" s="18" t="n">
        <v>6</v>
      </c>
      <c r="J16" s="13" t="s">
        <v>263</v>
      </c>
      <c r="K16" s="18" t="n">
        <v>7</v>
      </c>
      <c r="L16" s="13" t="s">
        <v>264</v>
      </c>
      <c r="M16" s="19" t="n">
        <f aca="false">G16*I16*K16</f>
        <v>336</v>
      </c>
      <c r="N16" s="12" t="str">
        <f aca="false">IF(G16&gt;=9,"CRITICAL",IF(AND(G16&gt;=7,M16&gt;=200),"CRITICAL",IF(OR(G16&gt;=7,M16&gt;=150,I16&gt;=7),"HIGH",IF(K16&gt;=8,"MEDIUM","LOW"))))</f>
        <v>CRITICAL</v>
      </c>
      <c r="O16" s="12" t="str">
        <f aca="false">IF(COUNTIF(AM_Standard!$B:$B,A16)&gt;0,"✓","ขาด")</f>
        <v>✓</v>
      </c>
    </row>
    <row r="17" customFormat="false" ht="63.75" hidden="false" customHeight="true" outlineLevel="0" collapsed="false">
      <c r="A17" s="12" t="s">
        <v>111</v>
      </c>
      <c r="B17" s="14" t="s">
        <v>112</v>
      </c>
      <c r="C17" s="13" t="s">
        <v>265</v>
      </c>
      <c r="D17" s="13" t="s">
        <v>266</v>
      </c>
      <c r="E17" s="13" t="s">
        <v>267</v>
      </c>
      <c r="F17" s="13" t="s">
        <v>239</v>
      </c>
      <c r="G17" s="18" t="n">
        <v>7</v>
      </c>
      <c r="H17" s="13" t="s">
        <v>210</v>
      </c>
      <c r="I17" s="18" t="n">
        <v>4</v>
      </c>
      <c r="J17" s="17" t="s">
        <v>240</v>
      </c>
      <c r="K17" s="18" t="n">
        <v>6</v>
      </c>
      <c r="L17" s="13" t="s">
        <v>268</v>
      </c>
      <c r="M17" s="19" t="n">
        <f aca="false">G17*I17*K17</f>
        <v>168</v>
      </c>
      <c r="N17" s="12" t="str">
        <f aca="false">IF(G17&gt;=9,"CRITICAL",IF(AND(G17&gt;=7,M17&gt;=200),"CRITICAL",IF(OR(G17&gt;=7,M17&gt;=150,I17&gt;=7),"HIGH",IF(K17&gt;=8,"MEDIUM","LOW"))))</f>
        <v>HIGH</v>
      </c>
      <c r="O17" s="12" t="str">
        <f aca="false">IF(COUNTIF(AM_Standard!$B:$B,A17)&gt;0,"✓","ขาด")</f>
        <v>✓</v>
      </c>
    </row>
    <row r="18" customFormat="false" ht="63.75" hidden="false" customHeight="true" outlineLevel="0" collapsed="false">
      <c r="A18" s="12" t="s">
        <v>116</v>
      </c>
      <c r="B18" s="14" t="s">
        <v>117</v>
      </c>
      <c r="C18" s="13" t="s">
        <v>269</v>
      </c>
      <c r="D18" s="13" t="s">
        <v>270</v>
      </c>
      <c r="E18" s="13" t="s">
        <v>238</v>
      </c>
      <c r="F18" s="13" t="s">
        <v>239</v>
      </c>
      <c r="G18" s="18" t="n">
        <v>6</v>
      </c>
      <c r="H18" s="13" t="s">
        <v>271</v>
      </c>
      <c r="I18" s="18" t="n">
        <v>4</v>
      </c>
      <c r="J18" s="17" t="s">
        <v>240</v>
      </c>
      <c r="K18" s="18" t="n">
        <v>7</v>
      </c>
      <c r="L18" s="13" t="s">
        <v>272</v>
      </c>
      <c r="M18" s="19" t="n">
        <f aca="false">G18*I18*K18</f>
        <v>168</v>
      </c>
      <c r="N18" s="12" t="str">
        <f aca="false">IF(G18&gt;=9,"CRITICAL",IF(AND(G18&gt;=7,M18&gt;=200),"CRITICAL",IF(OR(G18&gt;=7,M18&gt;=150,I18&gt;=7),"HIGH",IF(K18&gt;=8,"MEDIUM","LOW"))))</f>
        <v>HIGH</v>
      </c>
      <c r="O18" s="12" t="str">
        <f aca="false">IF(COUNTIF(AM_Standard!$B:$B,A18)&gt;0,"✓","ขาด")</f>
        <v>✓</v>
      </c>
    </row>
    <row r="19" customFormat="false" ht="63.75" hidden="false" customHeight="true" outlineLevel="0" collapsed="false">
      <c r="A19" s="12" t="s">
        <v>121</v>
      </c>
      <c r="B19" s="14" t="s">
        <v>122</v>
      </c>
      <c r="C19" s="13" t="s">
        <v>273</v>
      </c>
      <c r="D19" s="13" t="s">
        <v>274</v>
      </c>
      <c r="E19" s="13" t="s">
        <v>275</v>
      </c>
      <c r="F19" s="13" t="s">
        <v>276</v>
      </c>
      <c r="G19" s="18" t="n">
        <v>8</v>
      </c>
      <c r="H19" s="13" t="s">
        <v>203</v>
      </c>
      <c r="I19" s="18" t="n">
        <v>4</v>
      </c>
      <c r="J19" s="17" t="s">
        <v>240</v>
      </c>
      <c r="K19" s="18" t="n">
        <v>7</v>
      </c>
      <c r="L19" s="13" t="s">
        <v>277</v>
      </c>
      <c r="M19" s="19" t="n">
        <f aca="false">G19*I19*K19</f>
        <v>224</v>
      </c>
      <c r="N19" s="12" t="str">
        <f aca="false">IF(G19&gt;=9,"CRITICAL",IF(AND(G19&gt;=7,M19&gt;=200),"CRITICAL",IF(OR(G19&gt;=7,M19&gt;=150,I19&gt;=7),"HIGH",IF(K19&gt;=8,"MEDIUM","LOW"))))</f>
        <v>CRITICAL</v>
      </c>
      <c r="O19" s="12" t="str">
        <f aca="false">IF(COUNTIF(AM_Standard!$B:$B,A19)&gt;0,"✓","ขาด")</f>
        <v>✓</v>
      </c>
    </row>
    <row r="20" customFormat="false" ht="63.75" hidden="false" customHeight="true" outlineLevel="0" collapsed="false">
      <c r="A20" s="12" t="s">
        <v>126</v>
      </c>
      <c r="B20" s="14" t="s">
        <v>127</v>
      </c>
      <c r="C20" s="13" t="s">
        <v>278</v>
      </c>
      <c r="D20" s="17" t="s">
        <v>279</v>
      </c>
      <c r="E20" s="13" t="s">
        <v>280</v>
      </c>
      <c r="F20" s="13" t="s">
        <v>239</v>
      </c>
      <c r="G20" s="18" t="n">
        <v>8</v>
      </c>
      <c r="H20" s="13" t="s">
        <v>203</v>
      </c>
      <c r="I20" s="18" t="n">
        <v>4</v>
      </c>
      <c r="J20" s="17" t="s">
        <v>240</v>
      </c>
      <c r="K20" s="18" t="n">
        <v>8</v>
      </c>
      <c r="L20" s="13" t="s">
        <v>281</v>
      </c>
      <c r="M20" s="19" t="n">
        <f aca="false">G20*I20*K20</f>
        <v>256</v>
      </c>
      <c r="N20" s="12" t="str">
        <f aca="false">IF(G20&gt;=9,"CRITICAL",IF(AND(G20&gt;=7,M20&gt;=200),"CRITICAL",IF(OR(G20&gt;=7,M20&gt;=150,I20&gt;=7),"HIGH",IF(K20&gt;=8,"MEDIUM","LOW"))))</f>
        <v>CRITICAL</v>
      </c>
      <c r="O20" s="12" t="str">
        <f aca="false">IF(COUNTIF(AM_Standard!$B:$B,A20)&gt;0,"✓","ขาด")</f>
        <v>✓</v>
      </c>
    </row>
    <row r="21" customFormat="false" ht="63.75" hidden="false" customHeight="true" outlineLevel="0" collapsed="false">
      <c r="A21" s="12" t="s">
        <v>131</v>
      </c>
      <c r="B21" s="14" t="s">
        <v>132</v>
      </c>
      <c r="C21" s="13" t="s">
        <v>282</v>
      </c>
      <c r="D21" s="13" t="s">
        <v>283</v>
      </c>
      <c r="E21" s="13" t="s">
        <v>284</v>
      </c>
      <c r="F21" s="13" t="s">
        <v>239</v>
      </c>
      <c r="G21" s="18" t="n">
        <v>7</v>
      </c>
      <c r="H21" s="13" t="s">
        <v>210</v>
      </c>
      <c r="I21" s="18" t="n">
        <v>5</v>
      </c>
      <c r="J21" s="17" t="s">
        <v>211</v>
      </c>
      <c r="K21" s="18" t="n">
        <v>7</v>
      </c>
      <c r="L21" s="13" t="s">
        <v>285</v>
      </c>
      <c r="M21" s="19" t="n">
        <f aca="false">G21*I21*K21</f>
        <v>245</v>
      </c>
      <c r="N21" s="12" t="str">
        <f aca="false">IF(G21&gt;=9,"CRITICAL",IF(AND(G21&gt;=7,M21&gt;=200),"CRITICAL",IF(OR(G21&gt;=7,M21&gt;=150,I21&gt;=7),"HIGH",IF(K21&gt;=8,"MEDIUM","LOW"))))</f>
        <v>CRITICAL</v>
      </c>
      <c r="O21" s="12" t="str">
        <f aca="false">IF(COUNTIF(AM_Standard!$B:$B,A21)&gt;0,"✓","ขาด")</f>
        <v>✓</v>
      </c>
    </row>
    <row r="22" customFormat="false" ht="63.75" hidden="false" customHeight="true" outlineLevel="0" collapsed="false">
      <c r="A22" s="12" t="s">
        <v>136</v>
      </c>
      <c r="B22" s="14" t="s">
        <v>137</v>
      </c>
      <c r="C22" s="13" t="s">
        <v>286</v>
      </c>
      <c r="D22" s="13" t="s">
        <v>287</v>
      </c>
      <c r="E22" s="13" t="s">
        <v>288</v>
      </c>
      <c r="F22" s="13" t="s">
        <v>289</v>
      </c>
      <c r="G22" s="18" t="n">
        <v>6</v>
      </c>
      <c r="H22" s="13" t="s">
        <v>290</v>
      </c>
      <c r="I22" s="18" t="n">
        <v>5</v>
      </c>
      <c r="J22" s="17" t="s">
        <v>211</v>
      </c>
      <c r="K22" s="18" t="n">
        <v>6</v>
      </c>
      <c r="L22" s="13" t="s">
        <v>291</v>
      </c>
      <c r="M22" s="19" t="n">
        <f aca="false">G22*I22*K22</f>
        <v>180</v>
      </c>
      <c r="N22" s="12" t="str">
        <f aca="false">IF(G22&gt;=9,"CRITICAL",IF(AND(G22&gt;=7,M22&gt;=200),"CRITICAL",IF(OR(G22&gt;=7,M22&gt;=150,I22&gt;=7),"HIGH",IF(K22&gt;=8,"MEDIUM","LOW"))))</f>
        <v>HIGH</v>
      </c>
      <c r="O22" s="12" t="str">
        <f aca="false">IF(COUNTIF(AM_Standard!$B:$B,A22)&gt;0,"✓","ขาด")</f>
        <v>✓</v>
      </c>
    </row>
    <row r="23" customFormat="false" ht="63.75" hidden="false" customHeight="true" outlineLevel="0" collapsed="false">
      <c r="A23" s="12" t="s">
        <v>142</v>
      </c>
      <c r="B23" s="14" t="s">
        <v>143</v>
      </c>
      <c r="C23" s="13" t="s">
        <v>292</v>
      </c>
      <c r="D23" s="13" t="s">
        <v>293</v>
      </c>
      <c r="E23" s="13" t="s">
        <v>294</v>
      </c>
      <c r="F23" s="13" t="s">
        <v>209</v>
      </c>
      <c r="G23" s="18" t="n">
        <v>7</v>
      </c>
      <c r="H23" s="13" t="s">
        <v>210</v>
      </c>
      <c r="I23" s="18" t="n">
        <v>5</v>
      </c>
      <c r="J23" s="17" t="s">
        <v>211</v>
      </c>
      <c r="K23" s="18" t="n">
        <v>7</v>
      </c>
      <c r="L23" s="13" t="s">
        <v>224</v>
      </c>
      <c r="M23" s="19" t="n">
        <f aca="false">G23*I23*K23</f>
        <v>245</v>
      </c>
      <c r="N23" s="12" t="str">
        <f aca="false">IF(G23&gt;=9,"CRITICAL",IF(AND(G23&gt;=7,M23&gt;=200),"CRITICAL",IF(OR(G23&gt;=7,M23&gt;=150,I23&gt;=7),"HIGH",IF(K23&gt;=8,"MEDIUM","LOW"))))</f>
        <v>CRITICAL</v>
      </c>
      <c r="O23" s="12" t="str">
        <f aca="false">IF(COUNTIF(AM_Standard!$B:$B,A23)&gt;0,"✓","ขาด")</f>
        <v>✓</v>
      </c>
    </row>
    <row r="24" customFormat="false" ht="63.75" hidden="false" customHeight="true" outlineLevel="0" collapsed="false">
      <c r="A24" s="12" t="s">
        <v>147</v>
      </c>
      <c r="B24" s="14" t="s">
        <v>148</v>
      </c>
      <c r="C24" s="13" t="s">
        <v>295</v>
      </c>
      <c r="D24" s="13" t="s">
        <v>296</v>
      </c>
      <c r="E24" s="13" t="s">
        <v>227</v>
      </c>
      <c r="F24" s="13" t="s">
        <v>239</v>
      </c>
      <c r="G24" s="18" t="n">
        <v>7</v>
      </c>
      <c r="H24" s="13" t="s">
        <v>210</v>
      </c>
      <c r="I24" s="18" t="n">
        <v>5</v>
      </c>
      <c r="J24" s="17" t="s">
        <v>211</v>
      </c>
      <c r="K24" s="18" t="n">
        <v>7</v>
      </c>
      <c r="L24" s="13" t="s">
        <v>285</v>
      </c>
      <c r="M24" s="19" t="n">
        <f aca="false">G24*I24*K24</f>
        <v>245</v>
      </c>
      <c r="N24" s="12" t="str">
        <f aca="false">IF(G24&gt;=9,"CRITICAL",IF(AND(G24&gt;=7,M24&gt;=200),"CRITICAL",IF(OR(G24&gt;=7,M24&gt;=150,I24&gt;=7),"HIGH",IF(K24&gt;=8,"MEDIUM","LOW"))))</f>
        <v>CRITICAL</v>
      </c>
      <c r="O24" s="12" t="str">
        <f aca="false">IF(COUNTIF(AM_Standard!$B:$B,A24)&gt;0,"✓","ขาด")</f>
        <v>✓</v>
      </c>
    </row>
    <row r="25" customFormat="false" ht="63.75" hidden="false" customHeight="true" outlineLevel="0" collapsed="false">
      <c r="A25" s="12" t="s">
        <v>152</v>
      </c>
      <c r="B25" s="14" t="s">
        <v>153</v>
      </c>
      <c r="C25" s="13" t="s">
        <v>297</v>
      </c>
      <c r="D25" s="17" t="s">
        <v>298</v>
      </c>
      <c r="E25" s="13" t="s">
        <v>299</v>
      </c>
      <c r="F25" s="13" t="s">
        <v>261</v>
      </c>
      <c r="G25" s="18" t="n">
        <v>7</v>
      </c>
      <c r="H25" s="13" t="s">
        <v>210</v>
      </c>
      <c r="I25" s="18" t="n">
        <v>5</v>
      </c>
      <c r="J25" s="17" t="s">
        <v>211</v>
      </c>
      <c r="K25" s="18" t="n">
        <v>7</v>
      </c>
      <c r="L25" s="13" t="s">
        <v>224</v>
      </c>
      <c r="M25" s="19" t="n">
        <f aca="false">G25*I25*K25</f>
        <v>245</v>
      </c>
      <c r="N25" s="12" t="str">
        <f aca="false">IF(G25&gt;=9,"CRITICAL",IF(AND(G25&gt;=7,M25&gt;=200),"CRITICAL",IF(OR(G25&gt;=7,M25&gt;=150,I25&gt;=7),"HIGH",IF(K25&gt;=8,"MEDIUM","LOW"))))</f>
        <v>CRITICAL</v>
      </c>
      <c r="O25" s="12" t="str">
        <f aca="false">IF(COUNTIF(AM_Standard!$B:$B,A25)&gt;0,"✓","ขาด")</f>
        <v>✓</v>
      </c>
    </row>
    <row r="26" customFormat="false" ht="63.75" hidden="false" customHeight="true" outlineLevel="0" collapsed="false">
      <c r="A26" s="12" t="s">
        <v>157</v>
      </c>
      <c r="B26" s="14" t="s">
        <v>158</v>
      </c>
      <c r="C26" s="13" t="s">
        <v>300</v>
      </c>
      <c r="D26" s="13" t="s">
        <v>301</v>
      </c>
      <c r="E26" s="13" t="s">
        <v>302</v>
      </c>
      <c r="F26" s="13" t="s">
        <v>303</v>
      </c>
      <c r="G26" s="18" t="n">
        <v>8</v>
      </c>
      <c r="H26" s="13" t="s">
        <v>203</v>
      </c>
      <c r="I26" s="18" t="n">
        <v>3</v>
      </c>
      <c r="J26" s="17" t="s">
        <v>304</v>
      </c>
      <c r="K26" s="18" t="n">
        <v>7</v>
      </c>
      <c r="L26" s="13" t="s">
        <v>305</v>
      </c>
      <c r="M26" s="19" t="n">
        <f aca="false">G26*I26*K26</f>
        <v>168</v>
      </c>
      <c r="N26" s="12" t="str">
        <f aca="false">IF(G26&gt;=9,"CRITICAL",IF(AND(G26&gt;=7,M26&gt;=200),"CRITICAL",IF(OR(G26&gt;=7,M26&gt;=150,I26&gt;=7),"HIGH",IF(K26&gt;=8,"MEDIUM","LOW"))))</f>
        <v>HIGH</v>
      </c>
      <c r="O26" s="12" t="str">
        <f aca="false">IF(COUNTIF(AM_Standard!$B:$B,A26)&gt;0,"✓","ขาด")</f>
        <v>✓</v>
      </c>
    </row>
    <row r="27" customFormat="false" ht="63.75" hidden="false" customHeight="true" outlineLevel="0" collapsed="false">
      <c r="A27" s="12" t="s">
        <v>163</v>
      </c>
      <c r="B27" s="14" t="s">
        <v>164</v>
      </c>
      <c r="C27" s="13" t="s">
        <v>306</v>
      </c>
      <c r="D27" s="17" t="s">
        <v>307</v>
      </c>
      <c r="E27" s="13" t="s">
        <v>308</v>
      </c>
      <c r="F27" s="13" t="s">
        <v>239</v>
      </c>
      <c r="G27" s="18" t="n">
        <v>9</v>
      </c>
      <c r="H27" s="13" t="s">
        <v>309</v>
      </c>
      <c r="I27" s="18" t="n">
        <v>4</v>
      </c>
      <c r="J27" s="17" t="s">
        <v>240</v>
      </c>
      <c r="K27" s="18" t="n">
        <v>7</v>
      </c>
      <c r="L27" s="13" t="s">
        <v>224</v>
      </c>
      <c r="M27" s="19" t="n">
        <f aca="false">G27*I27*K27</f>
        <v>252</v>
      </c>
      <c r="N27" s="12" t="str">
        <f aca="false">IF(G27&gt;=9,"CRITICAL",IF(AND(G27&gt;=7,M27&gt;=200),"CRITICAL",IF(OR(G27&gt;=7,M27&gt;=150,I27&gt;=7),"HIGH",IF(K27&gt;=8,"MEDIUM","LOW"))))</f>
        <v>CRITICAL</v>
      </c>
      <c r="O27" s="12" t="str">
        <f aca="false">IF(COUNTIF(AM_Standard!$B:$B,A27)&gt;0,"✓","ขาด")</f>
        <v>✓</v>
      </c>
    </row>
    <row r="28" customFormat="false" ht="63.75" hidden="false" customHeight="true" outlineLevel="0" collapsed="false">
      <c r="A28" s="12" t="s">
        <v>168</v>
      </c>
      <c r="B28" s="14" t="s">
        <v>169</v>
      </c>
      <c r="C28" s="13" t="s">
        <v>310</v>
      </c>
      <c r="D28" s="13" t="s">
        <v>311</v>
      </c>
      <c r="E28" s="13" t="s">
        <v>299</v>
      </c>
      <c r="F28" s="13" t="s">
        <v>312</v>
      </c>
      <c r="G28" s="18" t="n">
        <v>7</v>
      </c>
      <c r="H28" s="13" t="s">
        <v>210</v>
      </c>
      <c r="I28" s="18" t="n">
        <v>5</v>
      </c>
      <c r="J28" s="17" t="s">
        <v>211</v>
      </c>
      <c r="K28" s="18" t="n">
        <v>7</v>
      </c>
      <c r="L28" s="13" t="s">
        <v>224</v>
      </c>
      <c r="M28" s="19" t="n">
        <f aca="false">G28*I28*K28</f>
        <v>245</v>
      </c>
      <c r="N28" s="12" t="str">
        <f aca="false">IF(G28&gt;=9,"CRITICAL",IF(AND(G28&gt;=7,M28&gt;=200),"CRITICAL",IF(OR(G28&gt;=7,M28&gt;=150,I28&gt;=7),"HIGH",IF(K28&gt;=8,"MEDIUM","LOW"))))</f>
        <v>CRITICAL</v>
      </c>
      <c r="O28" s="12" t="str">
        <f aca="false">IF(COUNTIF(AM_Standard!$B:$B,A28)&gt;0,"✓","ขาด")</f>
        <v>✓</v>
      </c>
    </row>
    <row r="29" customFormat="false" ht="63.75" hidden="false" customHeight="true" outlineLevel="0" collapsed="false">
      <c r="A29" s="12" t="s">
        <v>172</v>
      </c>
      <c r="B29" s="14" t="s">
        <v>173</v>
      </c>
      <c r="C29" s="13" t="s">
        <v>313</v>
      </c>
      <c r="D29" s="13" t="s">
        <v>314</v>
      </c>
      <c r="E29" s="13" t="s">
        <v>315</v>
      </c>
      <c r="F29" s="13" t="s">
        <v>239</v>
      </c>
      <c r="G29" s="18" t="n">
        <v>6</v>
      </c>
      <c r="H29" s="13" t="s">
        <v>222</v>
      </c>
      <c r="I29" s="18" t="n">
        <v>6</v>
      </c>
      <c r="J29" s="13" t="s">
        <v>316</v>
      </c>
      <c r="K29" s="18" t="n">
        <v>7</v>
      </c>
      <c r="L29" s="13" t="s">
        <v>285</v>
      </c>
      <c r="M29" s="19" t="n">
        <f aca="false">G29*I29*K29</f>
        <v>252</v>
      </c>
      <c r="N29" s="12" t="str">
        <f aca="false">IF(G29&gt;=9,"CRITICAL",IF(AND(G29&gt;=7,M29&gt;=200),"CRITICAL",IF(OR(G29&gt;=7,M29&gt;=150,I29&gt;=7),"HIGH",IF(K29&gt;=8,"MEDIUM","LOW"))))</f>
        <v>HIGH</v>
      </c>
      <c r="O29" s="12" t="str">
        <f aca="false">IF(COUNTIF(AM_Standard!$B:$B,A29)&gt;0,"✓","ขาด")</f>
        <v>✓</v>
      </c>
    </row>
    <row r="31" customFormat="false" ht="22.35" hidden="false" customHeight="false" outlineLevel="0" collapsed="false">
      <c r="M31" s="12" t="s">
        <v>317</v>
      </c>
      <c r="N31" s="19" t="n">
        <f aca="false">COUNTIF(N5:N29,"CRITICAL")</f>
        <v>15</v>
      </c>
    </row>
    <row r="32" customFormat="false" ht="15" hidden="false" customHeight="false" outlineLevel="0" collapsed="false">
      <c r="M32" s="12" t="s">
        <v>318</v>
      </c>
      <c r="N32" s="19" t="n">
        <f aca="false">COUNTIF(N5:N29,"HIGH")</f>
        <v>10</v>
      </c>
    </row>
    <row r="33" customFormat="false" ht="15" hidden="false" customHeight="false" outlineLevel="0" collapsed="false">
      <c r="M33" s="12" t="s">
        <v>319</v>
      </c>
      <c r="N33" s="19" t="n">
        <f aca="false">COUNTIF(N5:N29,"MEDIUM")</f>
        <v>0</v>
      </c>
    </row>
    <row r="34" customFormat="false" ht="15" hidden="false" customHeight="false" outlineLevel="0" collapsed="false">
      <c r="M34" s="12" t="s">
        <v>320</v>
      </c>
      <c r="N34" s="19" t="n">
        <f aca="false">COUNTIF(N5:N29,"LOW")</f>
        <v>0</v>
      </c>
    </row>
    <row r="35" customFormat="false" ht="31.3" hidden="false" customHeight="false" outlineLevel="0" collapsed="false">
      <c r="M35" s="12" t="s">
        <v>321</v>
      </c>
      <c r="N35" s="19" t="n">
        <f aca="false">COUNTIF(O5:O29,"ขาด")</f>
        <v>0</v>
      </c>
    </row>
  </sheetData>
  <mergeCells count="2">
    <mergeCell ref="A1:O1"/>
    <mergeCell ref="A2:O2"/>
  </mergeCells>
  <conditionalFormatting sqref="N5:N29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conditionalFormatting sqref="O5:O29">
    <cfRule type="cellIs" priority="6" operator="equal" aboveAverage="0" equalAverage="0" bottom="0" percent="0" rank="0" text="" dxfId="4">
      <formula>"ขาด"</formula>
    </cfRule>
  </conditionalFormatting>
  <conditionalFormatting sqref="M31:M34">
    <cfRule type="cellIs" priority="7" operator="equal" aboveAverage="0" equalAverage="0" bottom="0" percent="0" rank="0" text="" dxfId="0">
      <formula>"CRITICAL"</formula>
    </cfRule>
    <cfRule type="cellIs" priority="8" operator="equal" aboveAverage="0" equalAverage="0" bottom="0" percent="0" rank="0" text="" dxfId="1">
      <formula>"HIGH"</formula>
    </cfRule>
    <cfRule type="cellIs" priority="9" operator="equal" aboveAverage="0" equalAverage="0" bottom="0" percent="0" rank="0" text="" dxfId="2">
      <formula>"MEDIUM"</formula>
    </cfRule>
    <cfRule type="cellIs" priority="10" operator="equal" aboveAverage="0" equalAverage="0" bottom="0" percent="0" rank="0" text="" dxfId="3">
      <formula>"LOW"</formula>
    </cfRule>
  </conditionalFormatting>
  <dataValidations count="1">
    <dataValidation allowBlank="false" error="ใส่ 1–10" errorStyle="stop" errorTitle="S/O/D" operator="between" showDropDown="false" showErrorMessage="false" showInputMessage="false" sqref="G5:G29 I5:I29 K5:K29" type="whole">
      <formula1>1</formula1>
      <formula2>10</formula2>
    </dataValidation>
  </dataValidation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26"/>
    <col collapsed="false" customWidth="true" hidden="false" outlineLevel="0" max="4" min="4" style="0" width="6"/>
    <col collapsed="false" customWidth="true" hidden="false" outlineLevel="0" max="5" min="5" style="0" width="40"/>
    <col collapsed="false" customWidth="true" hidden="false" outlineLevel="0" max="6" min="6" style="0" width="26"/>
    <col collapsed="false" customWidth="true" hidden="false" outlineLevel="0" max="7" min="7" style="0" width="30"/>
    <col collapsed="false" customWidth="true" hidden="false" outlineLevel="0" max="8" min="8" style="0" width="13"/>
    <col collapsed="false" customWidth="true" hidden="false" outlineLevel="0" max="9" min="9" style="0" width="7"/>
    <col collapsed="false" customWidth="true" hidden="false" outlineLevel="0" max="10" min="10" style="0" width="11"/>
    <col collapsed="false" customWidth="true" hidden="false" outlineLevel="0" max="11" min="11" style="0" width="26"/>
    <col collapsed="false" customWidth="true" hidden="false" outlineLevel="0" max="12" min="12" style="0" width="28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5"/>
  </cols>
  <sheetData>
    <row r="1" customFormat="false" ht="30" hidden="false" customHeight="true" outlineLevel="0" collapsed="false">
      <c r="A1" s="1" t="s">
        <v>322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1.9" hidden="false" customHeight="false" outlineLevel="0" collapsed="false">
      <c r="A2" s="2" t="s">
        <v>323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6" hidden="false" customHeight="true" outlineLevel="0" collapsed="false">
      <c r="A4" s="10" t="s">
        <v>324</v>
      </c>
      <c r="B4" s="10" t="s">
        <v>325</v>
      </c>
      <c r="C4" s="10" t="s">
        <v>326</v>
      </c>
      <c r="D4" s="10" t="s">
        <v>22</v>
      </c>
      <c r="E4" s="10" t="s">
        <v>327</v>
      </c>
      <c r="F4" s="10" t="s">
        <v>328</v>
      </c>
      <c r="G4" s="10" t="s">
        <v>329</v>
      </c>
      <c r="H4" s="10" t="s">
        <v>330</v>
      </c>
      <c r="I4" s="10" t="s">
        <v>331</v>
      </c>
      <c r="J4" s="10" t="s">
        <v>24</v>
      </c>
      <c r="K4" s="10" t="s">
        <v>332</v>
      </c>
      <c r="L4" s="10" t="s">
        <v>333</v>
      </c>
      <c r="M4" s="10" t="s">
        <v>334</v>
      </c>
      <c r="N4" s="10" t="s">
        <v>335</v>
      </c>
      <c r="O4" s="10" t="s">
        <v>43</v>
      </c>
    </row>
    <row r="5" customFormat="false" ht="21.75" hidden="false" customHeight="true" outlineLevel="0" collapsed="false">
      <c r="A5" s="11" t="s">
        <v>44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</row>
    <row r="6" customFormat="false" ht="78" hidden="false" customHeight="true" outlineLevel="0" collapsed="false">
      <c r="A6" s="16" t="n">
        <v>1</v>
      </c>
      <c r="B6" s="12" t="s">
        <v>45</v>
      </c>
      <c r="C6" s="14" t="s">
        <v>336</v>
      </c>
      <c r="D6" s="20" t="s">
        <v>337</v>
      </c>
      <c r="E6" s="13" t="s">
        <v>338</v>
      </c>
      <c r="F6" s="13" t="s">
        <v>339</v>
      </c>
      <c r="G6" s="17" t="s">
        <v>340</v>
      </c>
      <c r="H6" s="16" t="s">
        <v>341</v>
      </c>
      <c r="I6" s="16" t="n">
        <v>3</v>
      </c>
      <c r="J6" s="12" t="str">
        <f aca="false">IFERROR(INDEX(FMEA!$N$5:$N$29,MATCH(B6,FMEA!$A$5:$A$29,0)),"—")</f>
        <v>HIGH</v>
      </c>
      <c r="K6" s="17" t="s">
        <v>342</v>
      </c>
      <c r="L6" s="13" t="s">
        <v>343</v>
      </c>
      <c r="M6" s="16" t="s">
        <v>344</v>
      </c>
      <c r="N6" s="16" t="s">
        <v>345</v>
      </c>
      <c r="O6" s="13" t="s">
        <v>346</v>
      </c>
    </row>
    <row r="7" customFormat="false" ht="78" hidden="false" customHeight="true" outlineLevel="0" collapsed="false">
      <c r="A7" s="16" t="n">
        <v>2</v>
      </c>
      <c r="B7" s="12" t="s">
        <v>52</v>
      </c>
      <c r="C7" s="14" t="s">
        <v>347</v>
      </c>
      <c r="D7" s="21" t="s">
        <v>348</v>
      </c>
      <c r="E7" s="13" t="s">
        <v>349</v>
      </c>
      <c r="F7" s="13" t="s">
        <v>350</v>
      </c>
      <c r="G7" s="17" t="s">
        <v>351</v>
      </c>
      <c r="H7" s="16" t="s">
        <v>341</v>
      </c>
      <c r="I7" s="16" t="n">
        <v>0.5</v>
      </c>
      <c r="J7" s="12" t="str">
        <f aca="false">IFERROR(INDEX(FMEA!$N$5:$N$29,MATCH(B7,FMEA!$A$5:$A$29,0)),"—")</f>
        <v>CRITICAL</v>
      </c>
      <c r="K7" s="17" t="s">
        <v>352</v>
      </c>
      <c r="L7" s="13" t="s">
        <v>353</v>
      </c>
      <c r="M7" s="16" t="s">
        <v>344</v>
      </c>
      <c r="N7" s="16" t="s">
        <v>354</v>
      </c>
      <c r="O7" s="13" t="s">
        <v>355</v>
      </c>
    </row>
    <row r="8" customFormat="false" ht="78" hidden="false" customHeight="true" outlineLevel="0" collapsed="false">
      <c r="A8" s="16" t="n">
        <v>3</v>
      </c>
      <c r="B8" s="12" t="s">
        <v>57</v>
      </c>
      <c r="C8" s="14" t="s">
        <v>356</v>
      </c>
      <c r="D8" s="21" t="s">
        <v>357</v>
      </c>
      <c r="E8" s="13" t="s">
        <v>358</v>
      </c>
      <c r="F8" s="13" t="s">
        <v>359</v>
      </c>
      <c r="G8" s="17" t="s">
        <v>360</v>
      </c>
      <c r="H8" s="16" t="s">
        <v>341</v>
      </c>
      <c r="I8" s="16" t="n">
        <v>0.5</v>
      </c>
      <c r="J8" s="12" t="str">
        <f aca="false">IFERROR(INDEX(FMEA!$N$5:$N$29,MATCH(B8,FMEA!$A$5:$A$29,0)),"—")</f>
        <v>CRITICAL</v>
      </c>
      <c r="K8" s="17" t="s">
        <v>361</v>
      </c>
      <c r="L8" s="13" t="s">
        <v>362</v>
      </c>
      <c r="M8" s="16" t="s">
        <v>344</v>
      </c>
      <c r="N8" s="16" t="s">
        <v>363</v>
      </c>
      <c r="O8" s="13" t="s">
        <v>364</v>
      </c>
    </row>
    <row r="9" customFormat="false" ht="78" hidden="false" customHeight="true" outlineLevel="0" collapsed="false">
      <c r="A9" s="16" t="n">
        <v>4</v>
      </c>
      <c r="B9" s="12" t="s">
        <v>62</v>
      </c>
      <c r="C9" s="14" t="s">
        <v>365</v>
      </c>
      <c r="D9" s="21" t="s">
        <v>357</v>
      </c>
      <c r="E9" s="13" t="s">
        <v>366</v>
      </c>
      <c r="F9" s="13" t="s">
        <v>367</v>
      </c>
      <c r="G9" s="13" t="s">
        <v>368</v>
      </c>
      <c r="H9" s="16" t="s">
        <v>341</v>
      </c>
      <c r="I9" s="16" t="n">
        <v>0.5</v>
      </c>
      <c r="J9" s="12" t="str">
        <f aca="false">IFERROR(INDEX(FMEA!$N$5:$N$29,MATCH(B9,FMEA!$A$5:$A$29,0)),"—")</f>
        <v>HIGH</v>
      </c>
      <c r="K9" s="17" t="s">
        <v>369</v>
      </c>
      <c r="L9" s="13" t="s">
        <v>370</v>
      </c>
      <c r="M9" s="16" t="s">
        <v>344</v>
      </c>
      <c r="N9" s="16" t="s">
        <v>371</v>
      </c>
      <c r="O9" s="13" t="s">
        <v>66</v>
      </c>
    </row>
    <row r="10" customFormat="false" ht="78" hidden="false" customHeight="true" outlineLevel="0" collapsed="false">
      <c r="A10" s="16" t="n">
        <v>5</v>
      </c>
      <c r="B10" s="12" t="s">
        <v>67</v>
      </c>
      <c r="C10" s="14" t="s">
        <v>372</v>
      </c>
      <c r="D10" s="20" t="s">
        <v>337</v>
      </c>
      <c r="E10" s="13" t="s">
        <v>373</v>
      </c>
      <c r="F10" s="13" t="s">
        <v>70</v>
      </c>
      <c r="G10" s="13" t="s">
        <v>374</v>
      </c>
      <c r="H10" s="22" t="s">
        <v>375</v>
      </c>
      <c r="I10" s="16" t="n">
        <v>2</v>
      </c>
      <c r="J10" s="12" t="str">
        <f aca="false">IFERROR(INDEX(FMEA!$N$5:$N$29,MATCH(B10,FMEA!$A$5:$A$29,0)),"—")</f>
        <v>HIGH</v>
      </c>
      <c r="K10" s="13" t="s">
        <v>376</v>
      </c>
      <c r="L10" s="13" t="s">
        <v>377</v>
      </c>
      <c r="M10" s="16" t="s">
        <v>344</v>
      </c>
      <c r="N10" s="16" t="s">
        <v>378</v>
      </c>
      <c r="O10" s="13" t="s">
        <v>379</v>
      </c>
    </row>
    <row r="11" customFormat="false" ht="78" hidden="false" customHeight="true" outlineLevel="0" collapsed="false">
      <c r="A11" s="16" t="n">
        <v>6</v>
      </c>
      <c r="B11" s="12" t="s">
        <v>72</v>
      </c>
      <c r="C11" s="14" t="s">
        <v>380</v>
      </c>
      <c r="D11" s="21" t="s">
        <v>357</v>
      </c>
      <c r="E11" s="13" t="s">
        <v>381</v>
      </c>
      <c r="F11" s="13" t="s">
        <v>382</v>
      </c>
      <c r="G11" s="17" t="s">
        <v>383</v>
      </c>
      <c r="H11" s="16" t="s">
        <v>384</v>
      </c>
      <c r="I11" s="16" t="n">
        <v>0.5</v>
      </c>
      <c r="J11" s="12" t="str">
        <f aca="false">IFERROR(INDEX(FMEA!$N$5:$N$29,MATCH(B11,FMEA!$A$5:$A$29,0)),"—")</f>
        <v>CRITICAL</v>
      </c>
      <c r="K11" s="17" t="s">
        <v>385</v>
      </c>
      <c r="L11" s="13" t="s">
        <v>386</v>
      </c>
      <c r="M11" s="16" t="s">
        <v>344</v>
      </c>
      <c r="N11" s="16" t="s">
        <v>387</v>
      </c>
      <c r="O11" s="13" t="s">
        <v>388</v>
      </c>
    </row>
    <row r="12" customFormat="false" ht="78" hidden="false" customHeight="true" outlineLevel="0" collapsed="false">
      <c r="A12" s="16" t="n">
        <v>7</v>
      </c>
      <c r="B12" s="12" t="s">
        <v>72</v>
      </c>
      <c r="C12" s="14" t="s">
        <v>389</v>
      </c>
      <c r="D12" s="21" t="s">
        <v>357</v>
      </c>
      <c r="E12" s="13" t="s">
        <v>390</v>
      </c>
      <c r="F12" s="13" t="s">
        <v>391</v>
      </c>
      <c r="G12" s="13" t="s">
        <v>392</v>
      </c>
      <c r="H12" s="16" t="s">
        <v>393</v>
      </c>
      <c r="I12" s="16" t="n">
        <v>2</v>
      </c>
      <c r="J12" s="12" t="str">
        <f aca="false">IFERROR(INDEX(FMEA!$N$5:$N$29,MATCH(B12,FMEA!$A$5:$A$29,0)),"—")</f>
        <v>CRITICAL</v>
      </c>
      <c r="K12" s="13" t="s">
        <v>394</v>
      </c>
      <c r="L12" s="13" t="s">
        <v>395</v>
      </c>
      <c r="M12" s="22" t="s">
        <v>396</v>
      </c>
      <c r="N12" s="16" t="s">
        <v>397</v>
      </c>
      <c r="O12" s="13" t="s">
        <v>398</v>
      </c>
    </row>
    <row r="13" customFormat="false" ht="21.75" hidden="false" customHeight="true" outlineLevel="0" collapsed="false">
      <c r="A13" s="11" t="s">
        <v>77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customFormat="false" ht="78" hidden="false" customHeight="true" outlineLevel="0" collapsed="false">
      <c r="A14" s="16" t="n">
        <v>8</v>
      </c>
      <c r="B14" s="12" t="s">
        <v>78</v>
      </c>
      <c r="C14" s="14" t="s">
        <v>399</v>
      </c>
      <c r="D14" s="21" t="s">
        <v>357</v>
      </c>
      <c r="E14" s="13" t="s">
        <v>400</v>
      </c>
      <c r="F14" s="13" t="s">
        <v>401</v>
      </c>
      <c r="G14" s="13" t="s">
        <v>402</v>
      </c>
      <c r="H14" s="16" t="s">
        <v>384</v>
      </c>
      <c r="I14" s="16" t="n">
        <v>1</v>
      </c>
      <c r="J14" s="12" t="str">
        <f aca="false">IFERROR(INDEX(FMEA!$N$5:$N$29,MATCH(B14,FMEA!$A$5:$A$29,0)),"—")</f>
        <v>CRITICAL</v>
      </c>
      <c r="K14" s="17" t="s">
        <v>403</v>
      </c>
      <c r="L14" s="13" t="s">
        <v>404</v>
      </c>
      <c r="M14" s="16" t="s">
        <v>344</v>
      </c>
      <c r="N14" s="16" t="s">
        <v>405</v>
      </c>
      <c r="O14" s="13" t="s">
        <v>93</v>
      </c>
    </row>
    <row r="15" customFormat="false" ht="78" hidden="false" customHeight="true" outlineLevel="0" collapsed="false">
      <c r="A15" s="16" t="n">
        <v>9</v>
      </c>
      <c r="B15" s="12" t="s">
        <v>83</v>
      </c>
      <c r="C15" s="14" t="s">
        <v>406</v>
      </c>
      <c r="D15" s="21" t="s">
        <v>357</v>
      </c>
      <c r="E15" s="13" t="s">
        <v>407</v>
      </c>
      <c r="F15" s="13" t="s">
        <v>408</v>
      </c>
      <c r="G15" s="17" t="s">
        <v>409</v>
      </c>
      <c r="H15" s="22" t="s">
        <v>375</v>
      </c>
      <c r="I15" s="16" t="n">
        <v>1</v>
      </c>
      <c r="J15" s="12" t="str">
        <f aca="false">IFERROR(INDEX(FMEA!$N$5:$N$29,MATCH(B15,FMEA!$A$5:$A$29,0)),"—")</f>
        <v>CRITICAL</v>
      </c>
      <c r="K15" s="13" t="s">
        <v>394</v>
      </c>
      <c r="L15" s="13" t="s">
        <v>410</v>
      </c>
      <c r="M15" s="16" t="s">
        <v>344</v>
      </c>
      <c r="N15" s="16" t="s">
        <v>411</v>
      </c>
      <c r="O15" s="13" t="s">
        <v>87</v>
      </c>
    </row>
    <row r="16" customFormat="false" ht="78" hidden="false" customHeight="true" outlineLevel="0" collapsed="false">
      <c r="A16" s="16" t="n">
        <v>10</v>
      </c>
      <c r="B16" s="12" t="s">
        <v>94</v>
      </c>
      <c r="C16" s="14" t="s">
        <v>412</v>
      </c>
      <c r="D16" s="21" t="s">
        <v>357</v>
      </c>
      <c r="E16" s="13" t="s">
        <v>413</v>
      </c>
      <c r="F16" s="13" t="s">
        <v>414</v>
      </c>
      <c r="G16" s="17" t="s">
        <v>415</v>
      </c>
      <c r="H16" s="16" t="s">
        <v>416</v>
      </c>
      <c r="I16" s="16" t="n">
        <v>1</v>
      </c>
      <c r="J16" s="12" t="str">
        <f aca="false">IFERROR(INDEX(FMEA!$N$5:$N$29,MATCH(B16,FMEA!$A$5:$A$29,0)),"—")</f>
        <v>HIGH</v>
      </c>
      <c r="K16" s="17" t="s">
        <v>417</v>
      </c>
      <c r="L16" s="13" t="s">
        <v>418</v>
      </c>
      <c r="M16" s="16" t="s">
        <v>344</v>
      </c>
      <c r="N16" s="16" t="s">
        <v>419</v>
      </c>
      <c r="O16" s="13" t="s">
        <v>420</v>
      </c>
    </row>
    <row r="17" customFormat="false" ht="78" hidden="false" customHeight="true" outlineLevel="0" collapsed="false">
      <c r="A17" s="16" t="n">
        <v>11</v>
      </c>
      <c r="B17" s="12" t="s">
        <v>88</v>
      </c>
      <c r="C17" s="14" t="s">
        <v>421</v>
      </c>
      <c r="D17" s="23" t="s">
        <v>422</v>
      </c>
      <c r="E17" s="17" t="s">
        <v>423</v>
      </c>
      <c r="F17" s="17" t="s">
        <v>424</v>
      </c>
      <c r="G17" s="13" t="s">
        <v>425</v>
      </c>
      <c r="H17" s="22" t="s">
        <v>426</v>
      </c>
      <c r="I17" s="16" t="n">
        <v>20</v>
      </c>
      <c r="J17" s="12" t="str">
        <f aca="false">IFERROR(INDEX(FMEA!$N$5:$N$29,MATCH(B17,FMEA!$A$5:$A$29,0)),"—")</f>
        <v>CRITICAL</v>
      </c>
      <c r="K17" s="13" t="s">
        <v>394</v>
      </c>
      <c r="L17" s="13" t="s">
        <v>427</v>
      </c>
      <c r="M17" s="16" t="s">
        <v>428</v>
      </c>
      <c r="N17" s="16" t="s">
        <v>394</v>
      </c>
      <c r="O17" s="13" t="s">
        <v>93</v>
      </c>
    </row>
    <row r="18" customFormat="false" ht="78" hidden="false" customHeight="true" outlineLevel="0" collapsed="false">
      <c r="A18" s="16" t="n">
        <v>12</v>
      </c>
      <c r="B18" s="12" t="s">
        <v>100</v>
      </c>
      <c r="C18" s="14" t="s">
        <v>429</v>
      </c>
      <c r="D18" s="24" t="s">
        <v>430</v>
      </c>
      <c r="E18" s="13" t="s">
        <v>431</v>
      </c>
      <c r="F18" s="17" t="s">
        <v>432</v>
      </c>
      <c r="G18" s="13" t="s">
        <v>433</v>
      </c>
      <c r="H18" s="22" t="s">
        <v>434</v>
      </c>
      <c r="I18" s="16" t="n">
        <v>5</v>
      </c>
      <c r="J18" s="12" t="str">
        <f aca="false">IFERROR(INDEX(FMEA!$N$5:$N$29,MATCH(B18,FMEA!$A$5:$A$29,0)),"—")</f>
        <v>HIGH</v>
      </c>
      <c r="K18" s="17" t="s">
        <v>435</v>
      </c>
      <c r="L18" s="13" t="s">
        <v>436</v>
      </c>
      <c r="M18" s="16" t="s">
        <v>428</v>
      </c>
      <c r="N18" s="16" t="s">
        <v>394</v>
      </c>
      <c r="O18" s="13" t="s">
        <v>87</v>
      </c>
    </row>
    <row r="19" customFormat="false" ht="21.75" hidden="false" customHeight="true" outlineLevel="0" collapsed="false">
      <c r="A19" s="11" t="s">
        <v>105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customFormat="false" ht="78" hidden="false" customHeight="true" outlineLevel="0" collapsed="false">
      <c r="A20" s="16" t="n">
        <v>13</v>
      </c>
      <c r="B20" s="12" t="s">
        <v>106</v>
      </c>
      <c r="C20" s="14" t="s">
        <v>437</v>
      </c>
      <c r="D20" s="21" t="s">
        <v>438</v>
      </c>
      <c r="E20" s="13" t="s">
        <v>439</v>
      </c>
      <c r="F20" s="13" t="s">
        <v>440</v>
      </c>
      <c r="G20" s="17" t="s">
        <v>441</v>
      </c>
      <c r="H20" s="16" t="s">
        <v>416</v>
      </c>
      <c r="I20" s="16" t="n">
        <v>0.5</v>
      </c>
      <c r="J20" s="12" t="str">
        <f aca="false">IFERROR(INDEX(FMEA!$N$5:$N$29,MATCH(B20,FMEA!$A$5:$A$29,0)),"—")</f>
        <v>CRITICAL</v>
      </c>
      <c r="K20" s="17" t="s">
        <v>442</v>
      </c>
      <c r="L20" s="13" t="s">
        <v>443</v>
      </c>
      <c r="M20" s="16" t="s">
        <v>344</v>
      </c>
      <c r="N20" s="16" t="s">
        <v>444</v>
      </c>
      <c r="O20" s="13" t="s">
        <v>445</v>
      </c>
    </row>
    <row r="21" customFormat="false" ht="78" hidden="false" customHeight="true" outlineLevel="0" collapsed="false">
      <c r="A21" s="16" t="n">
        <v>14</v>
      </c>
      <c r="B21" s="12" t="s">
        <v>111</v>
      </c>
      <c r="C21" s="14" t="s">
        <v>446</v>
      </c>
      <c r="D21" s="21" t="s">
        <v>357</v>
      </c>
      <c r="E21" s="13" t="s">
        <v>447</v>
      </c>
      <c r="F21" s="13" t="s">
        <v>448</v>
      </c>
      <c r="G21" s="13" t="s">
        <v>449</v>
      </c>
      <c r="H21" s="22" t="s">
        <v>375</v>
      </c>
      <c r="I21" s="16" t="n">
        <v>0.5</v>
      </c>
      <c r="J21" s="12" t="str">
        <f aca="false">IFERROR(INDEX(FMEA!$N$5:$N$29,MATCH(B21,FMEA!$A$5:$A$29,0)),"—")</f>
        <v>HIGH</v>
      </c>
      <c r="K21" s="13" t="s">
        <v>394</v>
      </c>
      <c r="L21" s="13" t="s">
        <v>450</v>
      </c>
      <c r="M21" s="16" t="s">
        <v>344</v>
      </c>
      <c r="N21" s="16" t="s">
        <v>451</v>
      </c>
      <c r="O21" s="13" t="s">
        <v>452</v>
      </c>
    </row>
    <row r="22" customFormat="false" ht="78" hidden="false" customHeight="true" outlineLevel="0" collapsed="false">
      <c r="A22" s="16" t="n">
        <v>15</v>
      </c>
      <c r="B22" s="12" t="s">
        <v>111</v>
      </c>
      <c r="C22" s="14" t="s">
        <v>453</v>
      </c>
      <c r="D22" s="21" t="s">
        <v>454</v>
      </c>
      <c r="E22" s="13" t="s">
        <v>455</v>
      </c>
      <c r="F22" s="13" t="s">
        <v>456</v>
      </c>
      <c r="G22" s="13" t="s">
        <v>457</v>
      </c>
      <c r="H22" s="22" t="s">
        <v>458</v>
      </c>
      <c r="I22" s="16" t="n">
        <v>5</v>
      </c>
      <c r="J22" s="12" t="str">
        <f aca="false">IFERROR(INDEX(FMEA!$N$5:$N$29,MATCH(B22,FMEA!$A$5:$A$29,0)),"—")</f>
        <v>HIGH</v>
      </c>
      <c r="K22" s="13" t="s">
        <v>394</v>
      </c>
      <c r="L22" s="13" t="s">
        <v>459</v>
      </c>
      <c r="M22" s="22" t="s">
        <v>460</v>
      </c>
      <c r="N22" s="16" t="s">
        <v>461</v>
      </c>
      <c r="O22" s="13" t="s">
        <v>452</v>
      </c>
    </row>
    <row r="23" customFormat="false" ht="78" hidden="false" customHeight="true" outlineLevel="0" collapsed="false">
      <c r="A23" s="16" t="n">
        <v>16</v>
      </c>
      <c r="B23" s="12" t="s">
        <v>116</v>
      </c>
      <c r="C23" s="14" t="s">
        <v>462</v>
      </c>
      <c r="D23" s="21" t="s">
        <v>357</v>
      </c>
      <c r="E23" s="13" t="s">
        <v>463</v>
      </c>
      <c r="F23" s="13" t="s">
        <v>464</v>
      </c>
      <c r="G23" s="17" t="s">
        <v>465</v>
      </c>
      <c r="H23" s="16" t="s">
        <v>341</v>
      </c>
      <c r="I23" s="16" t="n">
        <v>0.5</v>
      </c>
      <c r="J23" s="12" t="str">
        <f aca="false">IFERROR(INDEX(FMEA!$N$5:$N$29,MATCH(B23,FMEA!$A$5:$A$29,0)),"—")</f>
        <v>HIGH</v>
      </c>
      <c r="K23" s="17" t="s">
        <v>466</v>
      </c>
      <c r="L23" s="13" t="s">
        <v>467</v>
      </c>
      <c r="M23" s="16" t="s">
        <v>344</v>
      </c>
      <c r="N23" s="16" t="s">
        <v>468</v>
      </c>
      <c r="O23" s="13" t="s">
        <v>469</v>
      </c>
    </row>
    <row r="24" customFormat="false" ht="78" hidden="false" customHeight="true" outlineLevel="0" collapsed="false">
      <c r="A24" s="16" t="n">
        <v>17</v>
      </c>
      <c r="B24" s="12" t="s">
        <v>116</v>
      </c>
      <c r="C24" s="14" t="s">
        <v>470</v>
      </c>
      <c r="D24" s="21" t="s">
        <v>357</v>
      </c>
      <c r="E24" s="13" t="s">
        <v>471</v>
      </c>
      <c r="F24" s="13" t="s">
        <v>472</v>
      </c>
      <c r="G24" s="17" t="s">
        <v>473</v>
      </c>
      <c r="H24" s="22" t="s">
        <v>375</v>
      </c>
      <c r="I24" s="16" t="n">
        <v>0.5</v>
      </c>
      <c r="J24" s="12" t="str">
        <f aca="false">IFERROR(INDEX(FMEA!$N$5:$N$29,MATCH(B24,FMEA!$A$5:$A$29,0)),"—")</f>
        <v>HIGH</v>
      </c>
      <c r="K24" s="13" t="s">
        <v>394</v>
      </c>
      <c r="L24" s="13" t="s">
        <v>474</v>
      </c>
      <c r="M24" s="16" t="s">
        <v>344</v>
      </c>
      <c r="N24" s="16" t="s">
        <v>475</v>
      </c>
      <c r="O24" s="13" t="s">
        <v>398</v>
      </c>
    </row>
    <row r="25" customFormat="false" ht="78" hidden="false" customHeight="true" outlineLevel="0" collapsed="false">
      <c r="A25" s="16" t="n">
        <v>18</v>
      </c>
      <c r="B25" s="12" t="s">
        <v>121</v>
      </c>
      <c r="C25" s="14" t="s">
        <v>476</v>
      </c>
      <c r="D25" s="21" t="s">
        <v>357</v>
      </c>
      <c r="E25" s="13" t="s">
        <v>477</v>
      </c>
      <c r="F25" s="13" t="s">
        <v>478</v>
      </c>
      <c r="G25" s="17" t="s">
        <v>479</v>
      </c>
      <c r="H25" s="16" t="s">
        <v>416</v>
      </c>
      <c r="I25" s="16" t="n">
        <v>0.5</v>
      </c>
      <c r="J25" s="12" t="str">
        <f aca="false">IFERROR(INDEX(FMEA!$N$5:$N$29,MATCH(B25,FMEA!$A$5:$A$29,0)),"—")</f>
        <v>CRITICAL</v>
      </c>
      <c r="K25" s="13" t="s">
        <v>394</v>
      </c>
      <c r="L25" s="13" t="s">
        <v>480</v>
      </c>
      <c r="M25" s="16" t="s">
        <v>344</v>
      </c>
      <c r="N25" s="16" t="s">
        <v>481</v>
      </c>
      <c r="O25" s="13" t="s">
        <v>125</v>
      </c>
    </row>
    <row r="26" customFormat="false" ht="78" hidden="false" customHeight="true" outlineLevel="0" collapsed="false">
      <c r="A26" s="16" t="n">
        <v>19</v>
      </c>
      <c r="B26" s="12" t="s">
        <v>126</v>
      </c>
      <c r="C26" s="14" t="s">
        <v>482</v>
      </c>
      <c r="D26" s="21" t="s">
        <v>357</v>
      </c>
      <c r="E26" s="13" t="s">
        <v>483</v>
      </c>
      <c r="F26" s="13" t="s">
        <v>484</v>
      </c>
      <c r="G26" s="17" t="s">
        <v>485</v>
      </c>
      <c r="H26" s="16" t="s">
        <v>416</v>
      </c>
      <c r="I26" s="16" t="n">
        <v>0.5</v>
      </c>
      <c r="J26" s="12" t="str">
        <f aca="false">IFERROR(INDEX(FMEA!$N$5:$N$29,MATCH(B26,FMEA!$A$5:$A$29,0)),"—")</f>
        <v>CRITICAL</v>
      </c>
      <c r="K26" s="13" t="s">
        <v>394</v>
      </c>
      <c r="L26" s="13" t="s">
        <v>486</v>
      </c>
      <c r="M26" s="16" t="s">
        <v>344</v>
      </c>
      <c r="N26" s="16" t="s">
        <v>487</v>
      </c>
      <c r="O26" s="13" t="s">
        <v>130</v>
      </c>
    </row>
    <row r="27" customFormat="false" ht="78" hidden="false" customHeight="true" outlineLevel="0" collapsed="false">
      <c r="A27" s="16" t="n">
        <v>20</v>
      </c>
      <c r="B27" s="12" t="s">
        <v>131</v>
      </c>
      <c r="C27" s="14" t="s">
        <v>488</v>
      </c>
      <c r="D27" s="20" t="s">
        <v>489</v>
      </c>
      <c r="E27" s="13" t="s">
        <v>490</v>
      </c>
      <c r="F27" s="13" t="s">
        <v>491</v>
      </c>
      <c r="G27" s="17" t="s">
        <v>492</v>
      </c>
      <c r="H27" s="22" t="s">
        <v>375</v>
      </c>
      <c r="I27" s="16" t="n">
        <v>2</v>
      </c>
      <c r="J27" s="12" t="str">
        <f aca="false">IFERROR(INDEX(FMEA!$N$5:$N$29,MATCH(B27,FMEA!$A$5:$A$29,0)),"—")</f>
        <v>CRITICAL</v>
      </c>
      <c r="K27" s="17" t="s">
        <v>493</v>
      </c>
      <c r="L27" s="13" t="s">
        <v>494</v>
      </c>
      <c r="M27" s="16" t="s">
        <v>344</v>
      </c>
      <c r="N27" s="16" t="s">
        <v>495</v>
      </c>
      <c r="O27" s="13" t="s">
        <v>135</v>
      </c>
    </row>
    <row r="28" customFormat="false" ht="78" hidden="false" customHeight="true" outlineLevel="0" collapsed="false">
      <c r="A28" s="16" t="n">
        <v>21</v>
      </c>
      <c r="B28" s="12" t="s">
        <v>136</v>
      </c>
      <c r="C28" s="14" t="s">
        <v>496</v>
      </c>
      <c r="D28" s="21" t="s">
        <v>357</v>
      </c>
      <c r="E28" s="13" t="s">
        <v>497</v>
      </c>
      <c r="F28" s="17" t="s">
        <v>498</v>
      </c>
      <c r="G28" s="17" t="s">
        <v>499</v>
      </c>
      <c r="H28" s="16" t="s">
        <v>416</v>
      </c>
      <c r="I28" s="16" t="n">
        <v>1</v>
      </c>
      <c r="J28" s="12" t="str">
        <f aca="false">IFERROR(INDEX(FMEA!$N$5:$N$29,MATCH(B28,FMEA!$A$5:$A$29,0)),"—")</f>
        <v>HIGH</v>
      </c>
      <c r="K28" s="17" t="s">
        <v>500</v>
      </c>
      <c r="L28" s="13" t="s">
        <v>501</v>
      </c>
      <c r="M28" s="16" t="s">
        <v>344</v>
      </c>
      <c r="N28" s="16" t="s">
        <v>502</v>
      </c>
      <c r="O28" s="13" t="s">
        <v>503</v>
      </c>
    </row>
    <row r="29" customFormat="false" ht="21.75" hidden="false" customHeight="true" outlineLevel="0" collapsed="false">
      <c r="A29" s="11" t="s">
        <v>141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customFormat="false" ht="78" hidden="false" customHeight="true" outlineLevel="0" collapsed="false">
      <c r="A30" s="16" t="n">
        <v>22</v>
      </c>
      <c r="B30" s="12" t="s">
        <v>142</v>
      </c>
      <c r="C30" s="14" t="s">
        <v>504</v>
      </c>
      <c r="D30" s="20" t="s">
        <v>337</v>
      </c>
      <c r="E30" s="13" t="s">
        <v>505</v>
      </c>
      <c r="F30" s="13" t="s">
        <v>506</v>
      </c>
      <c r="G30" s="13" t="s">
        <v>507</v>
      </c>
      <c r="H30" s="16" t="s">
        <v>341</v>
      </c>
      <c r="I30" s="16" t="n">
        <v>1</v>
      </c>
      <c r="J30" s="12" t="str">
        <f aca="false">IFERROR(INDEX(FMEA!$N$5:$N$29,MATCH(B30,FMEA!$A$5:$A$29,0)),"—")</f>
        <v>CRITICAL</v>
      </c>
      <c r="K30" s="13" t="s">
        <v>394</v>
      </c>
      <c r="L30" s="13" t="s">
        <v>508</v>
      </c>
      <c r="M30" s="16" t="s">
        <v>344</v>
      </c>
      <c r="N30" s="16" t="s">
        <v>509</v>
      </c>
      <c r="O30" s="13" t="s">
        <v>510</v>
      </c>
    </row>
    <row r="31" customFormat="false" ht="78" hidden="false" customHeight="true" outlineLevel="0" collapsed="false">
      <c r="A31" s="16" t="n">
        <v>23</v>
      </c>
      <c r="B31" s="12" t="s">
        <v>147</v>
      </c>
      <c r="C31" s="14" t="s">
        <v>511</v>
      </c>
      <c r="D31" s="21" t="s">
        <v>357</v>
      </c>
      <c r="E31" s="13" t="s">
        <v>512</v>
      </c>
      <c r="F31" s="13" t="s">
        <v>513</v>
      </c>
      <c r="G31" s="17" t="s">
        <v>514</v>
      </c>
      <c r="H31" s="22" t="s">
        <v>375</v>
      </c>
      <c r="I31" s="16" t="n">
        <v>2</v>
      </c>
      <c r="J31" s="12" t="str">
        <f aca="false">IFERROR(INDEX(FMEA!$N$5:$N$29,MATCH(B31,FMEA!$A$5:$A$29,0)),"—")</f>
        <v>CRITICAL</v>
      </c>
      <c r="K31" s="13" t="s">
        <v>394</v>
      </c>
      <c r="L31" s="13" t="s">
        <v>515</v>
      </c>
      <c r="M31" s="16" t="s">
        <v>344</v>
      </c>
      <c r="N31" s="16" t="s">
        <v>516</v>
      </c>
      <c r="O31" s="13" t="s">
        <v>156</v>
      </c>
    </row>
    <row r="32" customFormat="false" ht="78" hidden="false" customHeight="true" outlineLevel="0" collapsed="false">
      <c r="A32" s="16" t="n">
        <v>24</v>
      </c>
      <c r="B32" s="12" t="s">
        <v>152</v>
      </c>
      <c r="C32" s="14" t="s">
        <v>517</v>
      </c>
      <c r="D32" s="24" t="s">
        <v>430</v>
      </c>
      <c r="E32" s="13" t="s">
        <v>518</v>
      </c>
      <c r="F32" s="13" t="s">
        <v>155</v>
      </c>
      <c r="G32" s="17" t="s">
        <v>519</v>
      </c>
      <c r="H32" s="22" t="s">
        <v>375</v>
      </c>
      <c r="I32" s="16" t="n">
        <v>1</v>
      </c>
      <c r="J32" s="12" t="str">
        <f aca="false">IFERROR(INDEX(FMEA!$N$5:$N$29,MATCH(B32,FMEA!$A$5:$A$29,0)),"—")</f>
        <v>CRITICAL</v>
      </c>
      <c r="K32" s="17" t="s">
        <v>493</v>
      </c>
      <c r="L32" s="13" t="s">
        <v>520</v>
      </c>
      <c r="M32" s="16" t="s">
        <v>344</v>
      </c>
      <c r="N32" s="16" t="s">
        <v>521</v>
      </c>
      <c r="O32" s="13" t="s">
        <v>156</v>
      </c>
    </row>
    <row r="33" customFormat="false" ht="78" hidden="false" customHeight="true" outlineLevel="0" collapsed="false">
      <c r="A33" s="16" t="n">
        <v>25</v>
      </c>
      <c r="B33" s="12" t="s">
        <v>157</v>
      </c>
      <c r="C33" s="14" t="s">
        <v>522</v>
      </c>
      <c r="D33" s="23" t="s">
        <v>523</v>
      </c>
      <c r="E33" s="13" t="s">
        <v>524</v>
      </c>
      <c r="F33" s="13" t="s">
        <v>525</v>
      </c>
      <c r="G33" s="17" t="s">
        <v>526</v>
      </c>
      <c r="H33" s="22" t="s">
        <v>527</v>
      </c>
      <c r="I33" s="16" t="n">
        <v>5</v>
      </c>
      <c r="J33" s="12" t="str">
        <f aca="false">IFERROR(INDEX(FMEA!$N$5:$N$29,MATCH(B33,FMEA!$A$5:$A$29,0)),"—")</f>
        <v>HIGH</v>
      </c>
      <c r="K33" s="17" t="s">
        <v>528</v>
      </c>
      <c r="L33" s="13" t="s">
        <v>529</v>
      </c>
      <c r="M33" s="22" t="s">
        <v>460</v>
      </c>
      <c r="N33" s="16" t="s">
        <v>394</v>
      </c>
      <c r="O33" s="13" t="s">
        <v>161</v>
      </c>
    </row>
    <row r="34" customFormat="false" ht="21.75" hidden="false" customHeight="true" outlineLevel="0" collapsed="false">
      <c r="A34" s="11" t="s">
        <v>162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 customFormat="false" ht="78" hidden="false" customHeight="true" outlineLevel="0" collapsed="false">
      <c r="A35" s="16" t="n">
        <v>26</v>
      </c>
      <c r="B35" s="12" t="s">
        <v>163</v>
      </c>
      <c r="C35" s="14" t="s">
        <v>530</v>
      </c>
      <c r="D35" s="21" t="s">
        <v>357</v>
      </c>
      <c r="E35" s="13" t="s">
        <v>531</v>
      </c>
      <c r="F35" s="13" t="s">
        <v>532</v>
      </c>
      <c r="G35" s="17" t="s">
        <v>533</v>
      </c>
      <c r="H35" s="22" t="s">
        <v>375</v>
      </c>
      <c r="I35" s="16" t="n">
        <v>2</v>
      </c>
      <c r="J35" s="12" t="str">
        <f aca="false">IFERROR(INDEX(FMEA!$N$5:$N$29,MATCH(B35,FMEA!$A$5:$A$29,0)),"—")</f>
        <v>CRITICAL</v>
      </c>
      <c r="K35" s="17" t="s">
        <v>534</v>
      </c>
      <c r="L35" s="17" t="s">
        <v>535</v>
      </c>
      <c r="M35" s="16" t="s">
        <v>344</v>
      </c>
      <c r="N35" s="16" t="s">
        <v>536</v>
      </c>
      <c r="O35" s="13" t="s">
        <v>167</v>
      </c>
    </row>
    <row r="36" customFormat="false" ht="78" hidden="false" customHeight="true" outlineLevel="0" collapsed="false">
      <c r="A36" s="16" t="n">
        <v>27</v>
      </c>
      <c r="B36" s="12" t="s">
        <v>172</v>
      </c>
      <c r="C36" s="14" t="s">
        <v>537</v>
      </c>
      <c r="D36" s="21" t="s">
        <v>438</v>
      </c>
      <c r="E36" s="13" t="s">
        <v>538</v>
      </c>
      <c r="F36" s="13" t="s">
        <v>539</v>
      </c>
      <c r="G36" s="17" t="s">
        <v>540</v>
      </c>
      <c r="H36" s="22" t="s">
        <v>375</v>
      </c>
      <c r="I36" s="16" t="n">
        <v>2</v>
      </c>
      <c r="J36" s="12" t="str">
        <f aca="false">IFERROR(INDEX(FMEA!$N$5:$N$29,MATCH(B36,FMEA!$A$5:$A$29,0)),"—")</f>
        <v>HIGH</v>
      </c>
      <c r="K36" s="17" t="s">
        <v>541</v>
      </c>
      <c r="L36" s="13" t="s">
        <v>542</v>
      </c>
      <c r="M36" s="16" t="s">
        <v>344</v>
      </c>
      <c r="N36" s="16" t="s">
        <v>543</v>
      </c>
      <c r="O36" s="13" t="s">
        <v>544</v>
      </c>
    </row>
    <row r="37" customFormat="false" ht="78" hidden="false" customHeight="true" outlineLevel="0" collapsed="false">
      <c r="A37" s="16" t="n">
        <v>28</v>
      </c>
      <c r="B37" s="12" t="s">
        <v>168</v>
      </c>
      <c r="C37" s="14" t="s">
        <v>545</v>
      </c>
      <c r="D37" s="24" t="s">
        <v>546</v>
      </c>
      <c r="E37" s="13" t="s">
        <v>547</v>
      </c>
      <c r="F37" s="13" t="s">
        <v>548</v>
      </c>
      <c r="G37" s="17" t="s">
        <v>549</v>
      </c>
      <c r="H37" s="22" t="s">
        <v>375</v>
      </c>
      <c r="I37" s="16" t="n">
        <v>1</v>
      </c>
      <c r="J37" s="12" t="str">
        <f aca="false">IFERROR(INDEX(FMEA!$N$5:$N$29,MATCH(B37,FMEA!$A$5:$A$29,0)),"—")</f>
        <v>CRITICAL</v>
      </c>
      <c r="K37" s="13" t="s">
        <v>394</v>
      </c>
      <c r="L37" s="13" t="s">
        <v>550</v>
      </c>
      <c r="M37" s="16" t="s">
        <v>344</v>
      </c>
      <c r="N37" s="16" t="s">
        <v>551</v>
      </c>
      <c r="O37" s="13" t="s">
        <v>167</v>
      </c>
    </row>
    <row r="39" customFormat="false" ht="15" hidden="false" customHeight="false" outlineLevel="0" collapsed="false">
      <c r="A39" s="25" t="s">
        <v>552</v>
      </c>
      <c r="B39" s="25"/>
      <c r="C39" s="25"/>
      <c r="D39" s="25"/>
      <c r="E39" s="25"/>
      <c r="F39" s="25"/>
      <c r="G39" s="25"/>
      <c r="H39" s="25"/>
      <c r="I39" s="19" t="n">
        <f aca="false">SUMIF(H6:H37,"D*",I6:I37)</f>
        <v>11</v>
      </c>
      <c r="J39" s="12" t="str">
        <f aca="false">IF(I39&lt;10,"ผ่าน","เกิน")</f>
        <v>เกิน</v>
      </c>
    </row>
    <row r="40" customFormat="false" ht="15" hidden="false" customHeight="false" outlineLevel="0" collapsed="false">
      <c r="A40" s="25" t="s">
        <v>553</v>
      </c>
      <c r="B40" s="25"/>
      <c r="C40" s="25"/>
      <c r="D40" s="25"/>
      <c r="E40" s="25"/>
      <c r="F40" s="25"/>
      <c r="G40" s="25"/>
      <c r="H40" s="25"/>
      <c r="I40" s="19" t="n">
        <f aca="false">SUMIF(H6:H37,"W*",I6:I37)</f>
        <v>14</v>
      </c>
    </row>
  </sheetData>
  <mergeCells count="9">
    <mergeCell ref="A1:O1"/>
    <mergeCell ref="A2:O2"/>
    <mergeCell ref="A5:O5"/>
    <mergeCell ref="A13:O13"/>
    <mergeCell ref="A19:O19"/>
    <mergeCell ref="A29:O29"/>
    <mergeCell ref="A34:O34"/>
    <mergeCell ref="A39:H39"/>
    <mergeCell ref="A40:H40"/>
  </mergeCells>
  <conditionalFormatting sqref="J6:J37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6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17" min="6" style="0" width="6"/>
    <col collapsed="false" customWidth="true" hidden="false" outlineLevel="0" max="18" min="18" style="0" width="13"/>
  </cols>
  <sheetData>
    <row r="1" customFormat="false" ht="30" hidden="false" customHeight="true" outlineLevel="0" collapsed="false">
      <c r="A1" s="1" t="s">
        <v>554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1.9" hidden="false" customHeight="false" outlineLevel="0" collapsed="false">
      <c r="A2" s="2" t="s">
        <v>555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36" hidden="false" customHeight="true" outlineLevel="0" collapsed="false">
      <c r="A4" s="10" t="s">
        <v>324</v>
      </c>
      <c r="B4" s="10" t="s">
        <v>556</v>
      </c>
      <c r="C4" s="10" t="s">
        <v>22</v>
      </c>
      <c r="D4" s="10" t="s">
        <v>330</v>
      </c>
      <c r="E4" s="10" t="s">
        <v>557</v>
      </c>
      <c r="F4" s="10" t="s">
        <v>558</v>
      </c>
      <c r="G4" s="10" t="s">
        <v>559</v>
      </c>
      <c r="H4" s="10" t="s">
        <v>560</v>
      </c>
      <c r="I4" s="10" t="s">
        <v>561</v>
      </c>
      <c r="J4" s="10" t="s">
        <v>562</v>
      </c>
      <c r="K4" s="10" t="s">
        <v>563</v>
      </c>
      <c r="L4" s="10" t="s">
        <v>564</v>
      </c>
      <c r="M4" s="10" t="s">
        <v>565</v>
      </c>
      <c r="N4" s="10" t="s">
        <v>566</v>
      </c>
      <c r="O4" s="10" t="s">
        <v>567</v>
      </c>
      <c r="P4" s="10" t="s">
        <v>568</v>
      </c>
      <c r="Q4" s="10" t="s">
        <v>569</v>
      </c>
      <c r="R4" s="10" t="s">
        <v>334</v>
      </c>
    </row>
    <row r="5" customFormat="false" ht="21.75" hidden="false" customHeight="true" outlineLevel="0" collapsed="false">
      <c r="A5" s="11" t="s">
        <v>44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</row>
    <row r="6" customFormat="false" ht="30" hidden="false" customHeight="true" outlineLevel="0" collapsed="false">
      <c r="A6" s="16" t="n">
        <v>1</v>
      </c>
      <c r="B6" s="13" t="s">
        <v>336</v>
      </c>
      <c r="C6" s="26" t="s">
        <v>337</v>
      </c>
      <c r="D6" s="16" t="s">
        <v>341</v>
      </c>
      <c r="E6" s="12" t="str">
        <f aca="false">AM_Standard!J6</f>
        <v>HIGH</v>
      </c>
      <c r="F6" s="27" t="s">
        <v>188</v>
      </c>
      <c r="G6" s="27" t="s">
        <v>188</v>
      </c>
      <c r="H6" s="27" t="s">
        <v>188</v>
      </c>
      <c r="I6" s="27" t="s">
        <v>188</v>
      </c>
      <c r="J6" s="27" t="s">
        <v>188</v>
      </c>
      <c r="K6" s="27" t="s">
        <v>188</v>
      </c>
      <c r="L6" s="27" t="s">
        <v>188</v>
      </c>
      <c r="M6" s="27" t="s">
        <v>188</v>
      </c>
      <c r="N6" s="27" t="s">
        <v>188</v>
      </c>
      <c r="O6" s="27" t="s">
        <v>188</v>
      </c>
      <c r="P6" s="27" t="s">
        <v>188</v>
      </c>
      <c r="Q6" s="27" t="s">
        <v>188</v>
      </c>
      <c r="R6" s="16" t="s">
        <v>344</v>
      </c>
    </row>
    <row r="7" customFormat="false" ht="30" hidden="false" customHeight="true" outlineLevel="0" collapsed="false">
      <c r="A7" s="16" t="n">
        <v>2</v>
      </c>
      <c r="B7" s="13" t="s">
        <v>347</v>
      </c>
      <c r="C7" s="28" t="s">
        <v>348</v>
      </c>
      <c r="D7" s="16" t="s">
        <v>341</v>
      </c>
      <c r="E7" s="12" t="str">
        <f aca="false">AM_Standard!J7</f>
        <v>CRITICAL</v>
      </c>
      <c r="F7" s="27" t="s">
        <v>188</v>
      </c>
      <c r="G7" s="27" t="s">
        <v>188</v>
      </c>
      <c r="H7" s="27" t="s">
        <v>188</v>
      </c>
      <c r="I7" s="27" t="s">
        <v>188</v>
      </c>
      <c r="J7" s="27" t="s">
        <v>188</v>
      </c>
      <c r="K7" s="27" t="s">
        <v>188</v>
      </c>
      <c r="L7" s="27" t="s">
        <v>188</v>
      </c>
      <c r="M7" s="27" t="s">
        <v>188</v>
      </c>
      <c r="N7" s="27" t="s">
        <v>188</v>
      </c>
      <c r="O7" s="27" t="s">
        <v>188</v>
      </c>
      <c r="P7" s="27" t="s">
        <v>188</v>
      </c>
      <c r="Q7" s="27" t="s">
        <v>188</v>
      </c>
      <c r="R7" s="16" t="s">
        <v>344</v>
      </c>
    </row>
    <row r="8" customFormat="false" ht="30" hidden="false" customHeight="true" outlineLevel="0" collapsed="false">
      <c r="A8" s="16" t="n">
        <v>3</v>
      </c>
      <c r="B8" s="13" t="s">
        <v>356</v>
      </c>
      <c r="C8" s="28" t="s">
        <v>357</v>
      </c>
      <c r="D8" s="16" t="s">
        <v>341</v>
      </c>
      <c r="E8" s="12" t="str">
        <f aca="false">AM_Standard!J8</f>
        <v>CRITICAL</v>
      </c>
      <c r="F8" s="27" t="s">
        <v>188</v>
      </c>
      <c r="G8" s="27" t="s">
        <v>188</v>
      </c>
      <c r="H8" s="27" t="s">
        <v>188</v>
      </c>
      <c r="I8" s="27" t="s">
        <v>188</v>
      </c>
      <c r="J8" s="27" t="s">
        <v>188</v>
      </c>
      <c r="K8" s="27" t="s">
        <v>188</v>
      </c>
      <c r="L8" s="27" t="s">
        <v>188</v>
      </c>
      <c r="M8" s="27" t="s">
        <v>188</v>
      </c>
      <c r="N8" s="27" t="s">
        <v>188</v>
      </c>
      <c r="O8" s="27" t="s">
        <v>188</v>
      </c>
      <c r="P8" s="27" t="s">
        <v>188</v>
      </c>
      <c r="Q8" s="27" t="s">
        <v>188</v>
      </c>
      <c r="R8" s="16" t="s">
        <v>344</v>
      </c>
    </row>
    <row r="9" customFormat="false" ht="30" hidden="false" customHeight="true" outlineLevel="0" collapsed="false">
      <c r="A9" s="16" t="n">
        <v>4</v>
      </c>
      <c r="B9" s="13" t="s">
        <v>365</v>
      </c>
      <c r="C9" s="28" t="s">
        <v>357</v>
      </c>
      <c r="D9" s="16" t="s">
        <v>341</v>
      </c>
      <c r="E9" s="12" t="str">
        <f aca="false">AM_Standard!J9</f>
        <v>HIGH</v>
      </c>
      <c r="F9" s="27" t="s">
        <v>188</v>
      </c>
      <c r="G9" s="27" t="s">
        <v>188</v>
      </c>
      <c r="H9" s="27" t="s">
        <v>188</v>
      </c>
      <c r="I9" s="27" t="s">
        <v>188</v>
      </c>
      <c r="J9" s="27" t="s">
        <v>188</v>
      </c>
      <c r="K9" s="27" t="s">
        <v>188</v>
      </c>
      <c r="L9" s="27" t="s">
        <v>188</v>
      </c>
      <c r="M9" s="27" t="s">
        <v>188</v>
      </c>
      <c r="N9" s="27" t="s">
        <v>188</v>
      </c>
      <c r="O9" s="27" t="s">
        <v>188</v>
      </c>
      <c r="P9" s="27" t="s">
        <v>188</v>
      </c>
      <c r="Q9" s="27" t="s">
        <v>188</v>
      </c>
      <c r="R9" s="16" t="s">
        <v>344</v>
      </c>
    </row>
    <row r="10" customFormat="false" ht="30" hidden="false" customHeight="true" outlineLevel="0" collapsed="false">
      <c r="A10" s="16" t="n">
        <v>5</v>
      </c>
      <c r="B10" s="13" t="s">
        <v>372</v>
      </c>
      <c r="C10" s="26" t="s">
        <v>337</v>
      </c>
      <c r="D10" s="22" t="s">
        <v>375</v>
      </c>
      <c r="E10" s="12" t="str">
        <f aca="false">AM_Standard!J10</f>
        <v>HIGH</v>
      </c>
      <c r="F10" s="29" t="s">
        <v>570</v>
      </c>
      <c r="G10" s="29" t="s">
        <v>570</v>
      </c>
      <c r="H10" s="29" t="s">
        <v>570</v>
      </c>
      <c r="I10" s="29" t="s">
        <v>570</v>
      </c>
      <c r="J10" s="29" t="s">
        <v>570</v>
      </c>
      <c r="K10" s="29" t="s">
        <v>570</v>
      </c>
      <c r="L10" s="29" t="s">
        <v>570</v>
      </c>
      <c r="M10" s="29" t="s">
        <v>570</v>
      </c>
      <c r="N10" s="29" t="s">
        <v>570</v>
      </c>
      <c r="O10" s="29" t="s">
        <v>570</v>
      </c>
      <c r="P10" s="29" t="s">
        <v>570</v>
      </c>
      <c r="Q10" s="29" t="s">
        <v>570</v>
      </c>
      <c r="R10" s="16" t="s">
        <v>344</v>
      </c>
    </row>
    <row r="11" customFormat="false" ht="30" hidden="false" customHeight="true" outlineLevel="0" collapsed="false">
      <c r="A11" s="16" t="n">
        <v>6</v>
      </c>
      <c r="B11" s="13" t="s">
        <v>380</v>
      </c>
      <c r="C11" s="28" t="s">
        <v>357</v>
      </c>
      <c r="D11" s="16" t="s">
        <v>384</v>
      </c>
      <c r="E11" s="12" t="str">
        <f aca="false">AM_Standard!J11</f>
        <v>CRITICAL</v>
      </c>
      <c r="F11" s="27" t="s">
        <v>188</v>
      </c>
      <c r="G11" s="27" t="s">
        <v>188</v>
      </c>
      <c r="H11" s="27" t="s">
        <v>188</v>
      </c>
      <c r="I11" s="27" t="s">
        <v>188</v>
      </c>
      <c r="J11" s="27" t="s">
        <v>188</v>
      </c>
      <c r="K11" s="27" t="s">
        <v>188</v>
      </c>
      <c r="L11" s="27" t="s">
        <v>188</v>
      </c>
      <c r="M11" s="27" t="s">
        <v>188</v>
      </c>
      <c r="N11" s="27" t="s">
        <v>188</v>
      </c>
      <c r="O11" s="27" t="s">
        <v>188</v>
      </c>
      <c r="P11" s="27" t="s">
        <v>188</v>
      </c>
      <c r="Q11" s="27" t="s">
        <v>188</v>
      </c>
      <c r="R11" s="16" t="s">
        <v>344</v>
      </c>
    </row>
    <row r="12" customFormat="false" ht="30" hidden="false" customHeight="true" outlineLevel="0" collapsed="false">
      <c r="A12" s="16" t="n">
        <v>7</v>
      </c>
      <c r="B12" s="13" t="s">
        <v>389</v>
      </c>
      <c r="C12" s="28" t="s">
        <v>357</v>
      </c>
      <c r="D12" s="16" t="s">
        <v>393</v>
      </c>
      <c r="E12" s="12" t="str">
        <f aca="false">AM_Standard!J12</f>
        <v>CRITICAL</v>
      </c>
      <c r="F12" s="16"/>
      <c r="G12" s="16"/>
      <c r="H12" s="16"/>
      <c r="I12" s="16"/>
      <c r="J12" s="16"/>
      <c r="K12" s="30" t="s">
        <v>184</v>
      </c>
      <c r="L12" s="16"/>
      <c r="M12" s="16"/>
      <c r="N12" s="16"/>
      <c r="O12" s="16"/>
      <c r="P12" s="16"/>
      <c r="Q12" s="30" t="s">
        <v>184</v>
      </c>
      <c r="R12" s="22" t="s">
        <v>396</v>
      </c>
    </row>
    <row r="13" customFormat="false" ht="21.75" hidden="false" customHeight="true" outlineLevel="0" collapsed="false">
      <c r="A13" s="11" t="s">
        <v>77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customFormat="false" ht="30" hidden="false" customHeight="true" outlineLevel="0" collapsed="false">
      <c r="A14" s="16" t="n">
        <v>8</v>
      </c>
      <c r="B14" s="13" t="s">
        <v>399</v>
      </c>
      <c r="C14" s="28" t="s">
        <v>357</v>
      </c>
      <c r="D14" s="16" t="s">
        <v>384</v>
      </c>
      <c r="E14" s="12" t="str">
        <f aca="false">AM_Standard!J14</f>
        <v>CRITICAL</v>
      </c>
      <c r="F14" s="27" t="s">
        <v>188</v>
      </c>
      <c r="G14" s="27" t="s">
        <v>188</v>
      </c>
      <c r="H14" s="27" t="s">
        <v>188</v>
      </c>
      <c r="I14" s="27" t="s">
        <v>188</v>
      </c>
      <c r="J14" s="27" t="s">
        <v>188</v>
      </c>
      <c r="K14" s="27" t="s">
        <v>188</v>
      </c>
      <c r="L14" s="27" t="s">
        <v>188</v>
      </c>
      <c r="M14" s="27" t="s">
        <v>188</v>
      </c>
      <c r="N14" s="27" t="s">
        <v>188</v>
      </c>
      <c r="O14" s="27" t="s">
        <v>188</v>
      </c>
      <c r="P14" s="27" t="s">
        <v>188</v>
      </c>
      <c r="Q14" s="27" t="s">
        <v>188</v>
      </c>
      <c r="R14" s="16" t="s">
        <v>344</v>
      </c>
    </row>
    <row r="15" customFormat="false" ht="30" hidden="false" customHeight="true" outlineLevel="0" collapsed="false">
      <c r="A15" s="16" t="n">
        <v>9</v>
      </c>
      <c r="B15" s="13" t="s">
        <v>406</v>
      </c>
      <c r="C15" s="28" t="s">
        <v>357</v>
      </c>
      <c r="D15" s="22" t="s">
        <v>375</v>
      </c>
      <c r="E15" s="12" t="str">
        <f aca="false">AM_Standard!J15</f>
        <v>CRITICAL</v>
      </c>
      <c r="F15" s="29" t="s">
        <v>570</v>
      </c>
      <c r="G15" s="29" t="s">
        <v>570</v>
      </c>
      <c r="H15" s="29" t="s">
        <v>570</v>
      </c>
      <c r="I15" s="29" t="s">
        <v>570</v>
      </c>
      <c r="J15" s="29" t="s">
        <v>570</v>
      </c>
      <c r="K15" s="29" t="s">
        <v>570</v>
      </c>
      <c r="L15" s="29" t="s">
        <v>570</v>
      </c>
      <c r="M15" s="29" t="s">
        <v>570</v>
      </c>
      <c r="N15" s="29" t="s">
        <v>570</v>
      </c>
      <c r="O15" s="29" t="s">
        <v>570</v>
      </c>
      <c r="P15" s="29" t="s">
        <v>570</v>
      </c>
      <c r="Q15" s="29" t="s">
        <v>570</v>
      </c>
      <c r="R15" s="16" t="s">
        <v>344</v>
      </c>
    </row>
    <row r="16" customFormat="false" ht="30" hidden="false" customHeight="true" outlineLevel="0" collapsed="false">
      <c r="A16" s="16" t="n">
        <v>10</v>
      </c>
      <c r="B16" s="13" t="s">
        <v>412</v>
      </c>
      <c r="C16" s="28" t="s">
        <v>357</v>
      </c>
      <c r="D16" s="16" t="s">
        <v>416</v>
      </c>
      <c r="E16" s="12" t="str">
        <f aca="false">AM_Standard!J16</f>
        <v>HIGH</v>
      </c>
      <c r="F16" s="27" t="s">
        <v>188</v>
      </c>
      <c r="G16" s="27" t="s">
        <v>188</v>
      </c>
      <c r="H16" s="27" t="s">
        <v>188</v>
      </c>
      <c r="I16" s="27" t="s">
        <v>188</v>
      </c>
      <c r="J16" s="27" t="s">
        <v>188</v>
      </c>
      <c r="K16" s="27" t="s">
        <v>188</v>
      </c>
      <c r="L16" s="27" t="s">
        <v>188</v>
      </c>
      <c r="M16" s="27" t="s">
        <v>188</v>
      </c>
      <c r="N16" s="27" t="s">
        <v>188</v>
      </c>
      <c r="O16" s="27" t="s">
        <v>188</v>
      </c>
      <c r="P16" s="27" t="s">
        <v>188</v>
      </c>
      <c r="Q16" s="27" t="s">
        <v>188</v>
      </c>
      <c r="R16" s="16" t="s">
        <v>344</v>
      </c>
    </row>
    <row r="17" customFormat="false" ht="30" hidden="false" customHeight="true" outlineLevel="0" collapsed="false">
      <c r="A17" s="16" t="n">
        <v>11</v>
      </c>
      <c r="B17" s="13" t="s">
        <v>421</v>
      </c>
      <c r="C17" s="31" t="s">
        <v>422</v>
      </c>
      <c r="D17" s="22" t="s">
        <v>426</v>
      </c>
      <c r="E17" s="12" t="str">
        <f aca="false">AM_Standard!J17</f>
        <v>CRITICAL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32" t="s">
        <v>523</v>
      </c>
      <c r="R17" s="16" t="s">
        <v>428</v>
      </c>
    </row>
    <row r="18" customFormat="false" ht="30" hidden="false" customHeight="true" outlineLevel="0" collapsed="false">
      <c r="A18" s="16" t="n">
        <v>12</v>
      </c>
      <c r="B18" s="13" t="s">
        <v>429</v>
      </c>
      <c r="C18" s="33" t="s">
        <v>430</v>
      </c>
      <c r="D18" s="22" t="s">
        <v>434</v>
      </c>
      <c r="E18" s="12" t="str">
        <f aca="false">AM_Standard!J18</f>
        <v>HIGH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 t="s">
        <v>428</v>
      </c>
    </row>
    <row r="19" customFormat="false" ht="21.75" hidden="false" customHeight="true" outlineLevel="0" collapsed="false">
      <c r="A19" s="11" t="s">
        <v>105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</row>
    <row r="20" customFormat="false" ht="30" hidden="false" customHeight="true" outlineLevel="0" collapsed="false">
      <c r="A20" s="16" t="n">
        <v>13</v>
      </c>
      <c r="B20" s="13" t="s">
        <v>437</v>
      </c>
      <c r="C20" s="28" t="s">
        <v>438</v>
      </c>
      <c r="D20" s="16" t="s">
        <v>416</v>
      </c>
      <c r="E20" s="12" t="str">
        <f aca="false">AM_Standard!J20</f>
        <v>CRITICAL</v>
      </c>
      <c r="F20" s="27" t="s">
        <v>188</v>
      </c>
      <c r="G20" s="27" t="s">
        <v>188</v>
      </c>
      <c r="H20" s="27" t="s">
        <v>188</v>
      </c>
      <c r="I20" s="27" t="s">
        <v>188</v>
      </c>
      <c r="J20" s="27" t="s">
        <v>188</v>
      </c>
      <c r="K20" s="27" t="s">
        <v>188</v>
      </c>
      <c r="L20" s="27" t="s">
        <v>188</v>
      </c>
      <c r="M20" s="27" t="s">
        <v>188</v>
      </c>
      <c r="N20" s="27" t="s">
        <v>188</v>
      </c>
      <c r="O20" s="27" t="s">
        <v>188</v>
      </c>
      <c r="P20" s="27" t="s">
        <v>188</v>
      </c>
      <c r="Q20" s="27" t="s">
        <v>188</v>
      </c>
      <c r="R20" s="16" t="s">
        <v>344</v>
      </c>
    </row>
    <row r="21" customFormat="false" ht="30" hidden="false" customHeight="true" outlineLevel="0" collapsed="false">
      <c r="A21" s="16" t="n">
        <v>14</v>
      </c>
      <c r="B21" s="13" t="s">
        <v>446</v>
      </c>
      <c r="C21" s="28" t="s">
        <v>357</v>
      </c>
      <c r="D21" s="22" t="s">
        <v>375</v>
      </c>
      <c r="E21" s="12" t="str">
        <f aca="false">AM_Standard!J21</f>
        <v>HIGH</v>
      </c>
      <c r="F21" s="29" t="s">
        <v>570</v>
      </c>
      <c r="G21" s="29" t="s">
        <v>570</v>
      </c>
      <c r="H21" s="29" t="s">
        <v>570</v>
      </c>
      <c r="I21" s="29" t="s">
        <v>570</v>
      </c>
      <c r="J21" s="29" t="s">
        <v>570</v>
      </c>
      <c r="K21" s="29" t="s">
        <v>570</v>
      </c>
      <c r="L21" s="29" t="s">
        <v>570</v>
      </c>
      <c r="M21" s="29" t="s">
        <v>570</v>
      </c>
      <c r="N21" s="29" t="s">
        <v>570</v>
      </c>
      <c r="O21" s="29" t="s">
        <v>570</v>
      </c>
      <c r="P21" s="29" t="s">
        <v>570</v>
      </c>
      <c r="Q21" s="29" t="s">
        <v>570</v>
      </c>
      <c r="R21" s="16" t="s">
        <v>344</v>
      </c>
    </row>
    <row r="22" customFormat="false" ht="30" hidden="false" customHeight="true" outlineLevel="0" collapsed="false">
      <c r="A22" s="16" t="n">
        <v>15</v>
      </c>
      <c r="B22" s="13" t="s">
        <v>453</v>
      </c>
      <c r="C22" s="28" t="s">
        <v>454</v>
      </c>
      <c r="D22" s="22" t="s">
        <v>458</v>
      </c>
      <c r="E22" s="12" t="str">
        <f aca="false">AM_Standard!J22</f>
        <v>HIGH</v>
      </c>
      <c r="F22" s="16"/>
      <c r="G22" s="16"/>
      <c r="H22" s="16"/>
      <c r="I22" s="16"/>
      <c r="J22" s="16"/>
      <c r="K22" s="30" t="s">
        <v>184</v>
      </c>
      <c r="L22" s="16"/>
      <c r="M22" s="16"/>
      <c r="N22" s="16"/>
      <c r="O22" s="16"/>
      <c r="P22" s="16"/>
      <c r="Q22" s="30" t="s">
        <v>184</v>
      </c>
      <c r="R22" s="22" t="s">
        <v>460</v>
      </c>
    </row>
    <row r="23" customFormat="false" ht="30" hidden="false" customHeight="true" outlineLevel="0" collapsed="false">
      <c r="A23" s="16" t="n">
        <v>16</v>
      </c>
      <c r="B23" s="13" t="s">
        <v>462</v>
      </c>
      <c r="C23" s="28" t="s">
        <v>357</v>
      </c>
      <c r="D23" s="16" t="s">
        <v>341</v>
      </c>
      <c r="E23" s="12" t="str">
        <f aca="false">AM_Standard!J23</f>
        <v>HIGH</v>
      </c>
      <c r="F23" s="27" t="s">
        <v>188</v>
      </c>
      <c r="G23" s="27" t="s">
        <v>188</v>
      </c>
      <c r="H23" s="27" t="s">
        <v>188</v>
      </c>
      <c r="I23" s="27" t="s">
        <v>188</v>
      </c>
      <c r="J23" s="27" t="s">
        <v>188</v>
      </c>
      <c r="K23" s="27" t="s">
        <v>188</v>
      </c>
      <c r="L23" s="27" t="s">
        <v>188</v>
      </c>
      <c r="M23" s="27" t="s">
        <v>188</v>
      </c>
      <c r="N23" s="27" t="s">
        <v>188</v>
      </c>
      <c r="O23" s="27" t="s">
        <v>188</v>
      </c>
      <c r="P23" s="27" t="s">
        <v>188</v>
      </c>
      <c r="Q23" s="27" t="s">
        <v>188</v>
      </c>
      <c r="R23" s="16" t="s">
        <v>344</v>
      </c>
    </row>
    <row r="24" customFormat="false" ht="30" hidden="false" customHeight="true" outlineLevel="0" collapsed="false">
      <c r="A24" s="16" t="n">
        <v>17</v>
      </c>
      <c r="B24" s="13" t="s">
        <v>470</v>
      </c>
      <c r="C24" s="28" t="s">
        <v>357</v>
      </c>
      <c r="D24" s="22" t="s">
        <v>375</v>
      </c>
      <c r="E24" s="12" t="str">
        <f aca="false">AM_Standard!J24</f>
        <v>HIGH</v>
      </c>
      <c r="F24" s="29" t="s">
        <v>570</v>
      </c>
      <c r="G24" s="29" t="s">
        <v>570</v>
      </c>
      <c r="H24" s="29" t="s">
        <v>570</v>
      </c>
      <c r="I24" s="29" t="s">
        <v>570</v>
      </c>
      <c r="J24" s="29" t="s">
        <v>570</v>
      </c>
      <c r="K24" s="29" t="s">
        <v>570</v>
      </c>
      <c r="L24" s="29" t="s">
        <v>570</v>
      </c>
      <c r="M24" s="29" t="s">
        <v>570</v>
      </c>
      <c r="N24" s="29" t="s">
        <v>570</v>
      </c>
      <c r="O24" s="29" t="s">
        <v>570</v>
      </c>
      <c r="P24" s="29" t="s">
        <v>570</v>
      </c>
      <c r="Q24" s="29" t="s">
        <v>570</v>
      </c>
      <c r="R24" s="16" t="s">
        <v>344</v>
      </c>
    </row>
    <row r="25" customFormat="false" ht="30" hidden="false" customHeight="true" outlineLevel="0" collapsed="false">
      <c r="A25" s="16" t="n">
        <v>18</v>
      </c>
      <c r="B25" s="13" t="s">
        <v>476</v>
      </c>
      <c r="C25" s="28" t="s">
        <v>357</v>
      </c>
      <c r="D25" s="16" t="s">
        <v>416</v>
      </c>
      <c r="E25" s="12" t="str">
        <f aca="false">AM_Standard!J25</f>
        <v>CRITICAL</v>
      </c>
      <c r="F25" s="27" t="s">
        <v>188</v>
      </c>
      <c r="G25" s="27" t="s">
        <v>188</v>
      </c>
      <c r="H25" s="27" t="s">
        <v>188</v>
      </c>
      <c r="I25" s="27" t="s">
        <v>188</v>
      </c>
      <c r="J25" s="27" t="s">
        <v>188</v>
      </c>
      <c r="K25" s="27" t="s">
        <v>188</v>
      </c>
      <c r="L25" s="27" t="s">
        <v>188</v>
      </c>
      <c r="M25" s="27" t="s">
        <v>188</v>
      </c>
      <c r="N25" s="27" t="s">
        <v>188</v>
      </c>
      <c r="O25" s="27" t="s">
        <v>188</v>
      </c>
      <c r="P25" s="27" t="s">
        <v>188</v>
      </c>
      <c r="Q25" s="27" t="s">
        <v>188</v>
      </c>
      <c r="R25" s="16" t="s">
        <v>344</v>
      </c>
    </row>
    <row r="26" customFormat="false" ht="30" hidden="false" customHeight="true" outlineLevel="0" collapsed="false">
      <c r="A26" s="16" t="n">
        <v>19</v>
      </c>
      <c r="B26" s="13" t="s">
        <v>482</v>
      </c>
      <c r="C26" s="28" t="s">
        <v>357</v>
      </c>
      <c r="D26" s="16" t="s">
        <v>416</v>
      </c>
      <c r="E26" s="12" t="str">
        <f aca="false">AM_Standard!J26</f>
        <v>CRITICAL</v>
      </c>
      <c r="F26" s="27" t="s">
        <v>188</v>
      </c>
      <c r="G26" s="27" t="s">
        <v>188</v>
      </c>
      <c r="H26" s="27" t="s">
        <v>188</v>
      </c>
      <c r="I26" s="27" t="s">
        <v>188</v>
      </c>
      <c r="J26" s="27" t="s">
        <v>188</v>
      </c>
      <c r="K26" s="27" t="s">
        <v>188</v>
      </c>
      <c r="L26" s="27" t="s">
        <v>188</v>
      </c>
      <c r="M26" s="27" t="s">
        <v>188</v>
      </c>
      <c r="N26" s="27" t="s">
        <v>188</v>
      </c>
      <c r="O26" s="27" t="s">
        <v>188</v>
      </c>
      <c r="P26" s="27" t="s">
        <v>188</v>
      </c>
      <c r="Q26" s="27" t="s">
        <v>188</v>
      </c>
      <c r="R26" s="16" t="s">
        <v>344</v>
      </c>
    </row>
    <row r="27" customFormat="false" ht="30" hidden="false" customHeight="true" outlineLevel="0" collapsed="false">
      <c r="A27" s="16" t="n">
        <v>20</v>
      </c>
      <c r="B27" s="13" t="s">
        <v>488</v>
      </c>
      <c r="C27" s="26" t="s">
        <v>489</v>
      </c>
      <c r="D27" s="22" t="s">
        <v>375</v>
      </c>
      <c r="E27" s="12" t="str">
        <f aca="false">AM_Standard!J27</f>
        <v>CRITICAL</v>
      </c>
      <c r="F27" s="29" t="s">
        <v>570</v>
      </c>
      <c r="G27" s="29" t="s">
        <v>570</v>
      </c>
      <c r="H27" s="29" t="s">
        <v>570</v>
      </c>
      <c r="I27" s="29" t="s">
        <v>570</v>
      </c>
      <c r="J27" s="29" t="s">
        <v>570</v>
      </c>
      <c r="K27" s="29" t="s">
        <v>570</v>
      </c>
      <c r="L27" s="29" t="s">
        <v>570</v>
      </c>
      <c r="M27" s="29" t="s">
        <v>570</v>
      </c>
      <c r="N27" s="29" t="s">
        <v>570</v>
      </c>
      <c r="O27" s="29" t="s">
        <v>570</v>
      </c>
      <c r="P27" s="29" t="s">
        <v>570</v>
      </c>
      <c r="Q27" s="29" t="s">
        <v>570</v>
      </c>
      <c r="R27" s="16" t="s">
        <v>344</v>
      </c>
    </row>
    <row r="28" customFormat="false" ht="30" hidden="false" customHeight="true" outlineLevel="0" collapsed="false">
      <c r="A28" s="16" t="n">
        <v>21</v>
      </c>
      <c r="B28" s="13" t="s">
        <v>496</v>
      </c>
      <c r="C28" s="28" t="s">
        <v>357</v>
      </c>
      <c r="D28" s="16" t="s">
        <v>416</v>
      </c>
      <c r="E28" s="12" t="str">
        <f aca="false">AM_Standard!J28</f>
        <v>HIGH</v>
      </c>
      <c r="F28" s="27" t="s">
        <v>188</v>
      </c>
      <c r="G28" s="27" t="s">
        <v>188</v>
      </c>
      <c r="H28" s="27" t="s">
        <v>188</v>
      </c>
      <c r="I28" s="27" t="s">
        <v>188</v>
      </c>
      <c r="J28" s="27" t="s">
        <v>188</v>
      </c>
      <c r="K28" s="27" t="s">
        <v>188</v>
      </c>
      <c r="L28" s="27" t="s">
        <v>188</v>
      </c>
      <c r="M28" s="27" t="s">
        <v>188</v>
      </c>
      <c r="N28" s="27" t="s">
        <v>188</v>
      </c>
      <c r="O28" s="27" t="s">
        <v>188</v>
      </c>
      <c r="P28" s="27" t="s">
        <v>188</v>
      </c>
      <c r="Q28" s="27" t="s">
        <v>188</v>
      </c>
      <c r="R28" s="16" t="s">
        <v>344</v>
      </c>
    </row>
    <row r="29" customFormat="false" ht="21.75" hidden="false" customHeight="true" outlineLevel="0" collapsed="false">
      <c r="A29" s="11" t="s">
        <v>141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</row>
    <row r="30" customFormat="false" ht="30" hidden="false" customHeight="true" outlineLevel="0" collapsed="false">
      <c r="A30" s="16" t="n">
        <v>22</v>
      </c>
      <c r="B30" s="13" t="s">
        <v>504</v>
      </c>
      <c r="C30" s="26" t="s">
        <v>337</v>
      </c>
      <c r="D30" s="16" t="s">
        <v>341</v>
      </c>
      <c r="E30" s="12" t="str">
        <f aca="false">AM_Standard!J30</f>
        <v>CRITICAL</v>
      </c>
      <c r="F30" s="27" t="s">
        <v>188</v>
      </c>
      <c r="G30" s="27" t="s">
        <v>188</v>
      </c>
      <c r="H30" s="27" t="s">
        <v>188</v>
      </c>
      <c r="I30" s="27" t="s">
        <v>188</v>
      </c>
      <c r="J30" s="27" t="s">
        <v>188</v>
      </c>
      <c r="K30" s="27" t="s">
        <v>188</v>
      </c>
      <c r="L30" s="27" t="s">
        <v>188</v>
      </c>
      <c r="M30" s="27" t="s">
        <v>188</v>
      </c>
      <c r="N30" s="27" t="s">
        <v>188</v>
      </c>
      <c r="O30" s="27" t="s">
        <v>188</v>
      </c>
      <c r="P30" s="27" t="s">
        <v>188</v>
      </c>
      <c r="Q30" s="27" t="s">
        <v>188</v>
      </c>
      <c r="R30" s="16" t="s">
        <v>344</v>
      </c>
    </row>
    <row r="31" customFormat="false" ht="30" hidden="false" customHeight="true" outlineLevel="0" collapsed="false">
      <c r="A31" s="16" t="n">
        <v>23</v>
      </c>
      <c r="B31" s="13" t="s">
        <v>511</v>
      </c>
      <c r="C31" s="28" t="s">
        <v>357</v>
      </c>
      <c r="D31" s="22" t="s">
        <v>375</v>
      </c>
      <c r="E31" s="12" t="str">
        <f aca="false">AM_Standard!J31</f>
        <v>CRITICAL</v>
      </c>
      <c r="F31" s="29" t="s">
        <v>570</v>
      </c>
      <c r="G31" s="29" t="s">
        <v>570</v>
      </c>
      <c r="H31" s="29" t="s">
        <v>570</v>
      </c>
      <c r="I31" s="29" t="s">
        <v>570</v>
      </c>
      <c r="J31" s="29" t="s">
        <v>570</v>
      </c>
      <c r="K31" s="29" t="s">
        <v>570</v>
      </c>
      <c r="L31" s="29" t="s">
        <v>570</v>
      </c>
      <c r="M31" s="29" t="s">
        <v>570</v>
      </c>
      <c r="N31" s="29" t="s">
        <v>570</v>
      </c>
      <c r="O31" s="29" t="s">
        <v>570</v>
      </c>
      <c r="P31" s="29" t="s">
        <v>570</v>
      </c>
      <c r="Q31" s="29" t="s">
        <v>570</v>
      </c>
      <c r="R31" s="16" t="s">
        <v>344</v>
      </c>
    </row>
    <row r="32" customFormat="false" ht="30" hidden="false" customHeight="true" outlineLevel="0" collapsed="false">
      <c r="A32" s="16" t="n">
        <v>24</v>
      </c>
      <c r="B32" s="13" t="s">
        <v>517</v>
      </c>
      <c r="C32" s="33" t="s">
        <v>430</v>
      </c>
      <c r="D32" s="22" t="s">
        <v>375</v>
      </c>
      <c r="E32" s="12" t="str">
        <f aca="false">AM_Standard!J32</f>
        <v>CRITICAL</v>
      </c>
      <c r="F32" s="29" t="s">
        <v>570</v>
      </c>
      <c r="G32" s="29" t="s">
        <v>570</v>
      </c>
      <c r="H32" s="29" t="s">
        <v>570</v>
      </c>
      <c r="I32" s="29" t="s">
        <v>570</v>
      </c>
      <c r="J32" s="29" t="s">
        <v>570</v>
      </c>
      <c r="K32" s="29" t="s">
        <v>570</v>
      </c>
      <c r="L32" s="29" t="s">
        <v>570</v>
      </c>
      <c r="M32" s="29" t="s">
        <v>570</v>
      </c>
      <c r="N32" s="29" t="s">
        <v>570</v>
      </c>
      <c r="O32" s="29" t="s">
        <v>570</v>
      </c>
      <c r="P32" s="29" t="s">
        <v>570</v>
      </c>
      <c r="Q32" s="29" t="s">
        <v>570</v>
      </c>
      <c r="R32" s="16" t="s">
        <v>344</v>
      </c>
    </row>
    <row r="33" customFormat="false" ht="30" hidden="false" customHeight="true" outlineLevel="0" collapsed="false">
      <c r="A33" s="16" t="n">
        <v>25</v>
      </c>
      <c r="B33" s="13" t="s">
        <v>522</v>
      </c>
      <c r="C33" s="31" t="s">
        <v>523</v>
      </c>
      <c r="D33" s="22" t="s">
        <v>527</v>
      </c>
      <c r="E33" s="12" t="str">
        <f aca="false">AM_Standard!J33</f>
        <v>HIGH</v>
      </c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22" t="s">
        <v>460</v>
      </c>
    </row>
    <row r="34" customFormat="false" ht="21.75" hidden="false" customHeight="true" outlineLevel="0" collapsed="false">
      <c r="A34" s="11" t="s">
        <v>162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customFormat="false" ht="30" hidden="false" customHeight="true" outlineLevel="0" collapsed="false">
      <c r="A35" s="16" t="n">
        <v>26</v>
      </c>
      <c r="B35" s="13" t="s">
        <v>530</v>
      </c>
      <c r="C35" s="28" t="s">
        <v>357</v>
      </c>
      <c r="D35" s="22" t="s">
        <v>375</v>
      </c>
      <c r="E35" s="12" t="str">
        <f aca="false">AM_Standard!J35</f>
        <v>CRITICAL</v>
      </c>
      <c r="F35" s="29" t="s">
        <v>570</v>
      </c>
      <c r="G35" s="29" t="s">
        <v>570</v>
      </c>
      <c r="H35" s="29" t="s">
        <v>570</v>
      </c>
      <c r="I35" s="29" t="s">
        <v>570</v>
      </c>
      <c r="J35" s="29" t="s">
        <v>570</v>
      </c>
      <c r="K35" s="29" t="s">
        <v>570</v>
      </c>
      <c r="L35" s="29" t="s">
        <v>570</v>
      </c>
      <c r="M35" s="29" t="s">
        <v>570</v>
      </c>
      <c r="N35" s="29" t="s">
        <v>570</v>
      </c>
      <c r="O35" s="29" t="s">
        <v>570</v>
      </c>
      <c r="P35" s="29" t="s">
        <v>570</v>
      </c>
      <c r="Q35" s="29" t="s">
        <v>570</v>
      </c>
      <c r="R35" s="16" t="s">
        <v>344</v>
      </c>
    </row>
    <row r="36" customFormat="false" ht="30" hidden="false" customHeight="true" outlineLevel="0" collapsed="false">
      <c r="A36" s="16" t="n">
        <v>27</v>
      </c>
      <c r="B36" s="13" t="s">
        <v>537</v>
      </c>
      <c r="C36" s="28" t="s">
        <v>438</v>
      </c>
      <c r="D36" s="22" t="s">
        <v>375</v>
      </c>
      <c r="E36" s="12" t="str">
        <f aca="false">AM_Standard!J36</f>
        <v>HIGH</v>
      </c>
      <c r="F36" s="29" t="s">
        <v>570</v>
      </c>
      <c r="G36" s="29" t="s">
        <v>570</v>
      </c>
      <c r="H36" s="29" t="s">
        <v>570</v>
      </c>
      <c r="I36" s="29" t="s">
        <v>570</v>
      </c>
      <c r="J36" s="29" t="s">
        <v>570</v>
      </c>
      <c r="K36" s="29" t="s">
        <v>570</v>
      </c>
      <c r="L36" s="29" t="s">
        <v>570</v>
      </c>
      <c r="M36" s="29" t="s">
        <v>570</v>
      </c>
      <c r="N36" s="29" t="s">
        <v>570</v>
      </c>
      <c r="O36" s="29" t="s">
        <v>570</v>
      </c>
      <c r="P36" s="29" t="s">
        <v>570</v>
      </c>
      <c r="Q36" s="29" t="s">
        <v>570</v>
      </c>
      <c r="R36" s="16" t="s">
        <v>344</v>
      </c>
    </row>
    <row r="37" customFormat="false" ht="30" hidden="false" customHeight="true" outlineLevel="0" collapsed="false">
      <c r="A37" s="16" t="n">
        <v>28</v>
      </c>
      <c r="B37" s="13" t="s">
        <v>545</v>
      </c>
      <c r="C37" s="33" t="s">
        <v>546</v>
      </c>
      <c r="D37" s="22" t="s">
        <v>375</v>
      </c>
      <c r="E37" s="12" t="str">
        <f aca="false">AM_Standard!J37</f>
        <v>CRITICAL</v>
      </c>
      <c r="F37" s="29" t="s">
        <v>570</v>
      </c>
      <c r="G37" s="29" t="s">
        <v>570</v>
      </c>
      <c r="H37" s="29" t="s">
        <v>570</v>
      </c>
      <c r="I37" s="29" t="s">
        <v>570</v>
      </c>
      <c r="J37" s="29" t="s">
        <v>570</v>
      </c>
      <c r="K37" s="29" t="s">
        <v>570</v>
      </c>
      <c r="L37" s="29" t="s">
        <v>570</v>
      </c>
      <c r="M37" s="29" t="s">
        <v>570</v>
      </c>
      <c r="N37" s="29" t="s">
        <v>570</v>
      </c>
      <c r="O37" s="29" t="s">
        <v>570</v>
      </c>
      <c r="P37" s="29" t="s">
        <v>570</v>
      </c>
      <c r="Q37" s="29" t="s">
        <v>570</v>
      </c>
      <c r="R37" s="16" t="s">
        <v>344</v>
      </c>
    </row>
    <row r="39" customFormat="false" ht="30" hidden="false" customHeight="true" outlineLevel="0" collapsed="false">
      <c r="F39" s="27" t="s">
        <v>188</v>
      </c>
      <c r="G39" s="13" t="s">
        <v>571</v>
      </c>
      <c r="H39" s="29" t="s">
        <v>570</v>
      </c>
      <c r="I39" s="13" t="s">
        <v>572</v>
      </c>
      <c r="J39" s="34" t="s">
        <v>573</v>
      </c>
      <c r="K39" s="13" t="s">
        <v>574</v>
      </c>
      <c r="L39" s="30" t="s">
        <v>184</v>
      </c>
      <c r="M39" s="13" t="s">
        <v>575</v>
      </c>
      <c r="N39" s="32" t="s">
        <v>523</v>
      </c>
      <c r="O39" s="13" t="s">
        <v>576</v>
      </c>
    </row>
  </sheetData>
  <mergeCells count="7">
    <mergeCell ref="A1:R1"/>
    <mergeCell ref="A2:R2"/>
    <mergeCell ref="A5:R5"/>
    <mergeCell ref="A13:R13"/>
    <mergeCell ref="A19:R19"/>
    <mergeCell ref="A29:R29"/>
    <mergeCell ref="A34:R34"/>
  </mergeCells>
  <conditionalFormatting sqref="E5:E37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14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8" min="7" style="0" width="14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5"/>
  </cols>
  <sheetData>
    <row r="1" customFormat="false" ht="30" hidden="false" customHeight="true" outlineLevel="0" collapsed="false">
      <c r="A1" s="1" t="s">
        <v>577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1.9" hidden="false" customHeight="false" outlineLevel="0" collapsed="false">
      <c r="A2" s="2" t="s">
        <v>578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6" hidden="false" customHeight="true" outlineLevel="0" collapsed="false">
      <c r="A4" s="10" t="s">
        <v>324</v>
      </c>
      <c r="B4" s="10" t="s">
        <v>579</v>
      </c>
      <c r="C4" s="10" t="s">
        <v>580</v>
      </c>
      <c r="D4" s="10" t="s">
        <v>581</v>
      </c>
      <c r="E4" s="10" t="s">
        <v>582</v>
      </c>
      <c r="F4" s="10" t="s">
        <v>583</v>
      </c>
      <c r="G4" s="10" t="s">
        <v>584</v>
      </c>
      <c r="H4" s="10" t="s">
        <v>585</v>
      </c>
      <c r="I4" s="10" t="s">
        <v>586</v>
      </c>
      <c r="J4" s="10" t="s">
        <v>334</v>
      </c>
      <c r="K4" s="10" t="s">
        <v>43</v>
      </c>
    </row>
    <row r="5" customFormat="false" ht="69.75" hidden="false" customHeight="true" outlineLevel="0" collapsed="false">
      <c r="A5" s="16" t="n">
        <v>1</v>
      </c>
      <c r="B5" s="14" t="s">
        <v>587</v>
      </c>
      <c r="C5" s="17" t="s">
        <v>588</v>
      </c>
      <c r="D5" s="16" t="s">
        <v>589</v>
      </c>
      <c r="E5" s="13" t="s">
        <v>590</v>
      </c>
      <c r="F5" s="13" t="s">
        <v>591</v>
      </c>
      <c r="G5" s="22" t="s">
        <v>592</v>
      </c>
      <c r="H5" s="22" t="s">
        <v>593</v>
      </c>
      <c r="I5" s="35" t="s">
        <v>594</v>
      </c>
      <c r="J5" s="16" t="s">
        <v>595</v>
      </c>
      <c r="K5" s="13" t="s">
        <v>346</v>
      </c>
    </row>
    <row r="6" customFormat="false" ht="69.75" hidden="false" customHeight="true" outlineLevel="0" collapsed="false">
      <c r="A6" s="16" t="n">
        <v>2</v>
      </c>
      <c r="B6" s="14" t="s">
        <v>596</v>
      </c>
      <c r="C6" s="17" t="s">
        <v>597</v>
      </c>
      <c r="D6" s="16" t="s">
        <v>589</v>
      </c>
      <c r="E6" s="13" t="s">
        <v>598</v>
      </c>
      <c r="F6" s="13" t="s">
        <v>599</v>
      </c>
      <c r="G6" s="22" t="s">
        <v>600</v>
      </c>
      <c r="H6" s="22" t="s">
        <v>601</v>
      </c>
      <c r="I6" s="35" t="s">
        <v>594</v>
      </c>
      <c r="J6" s="16" t="s">
        <v>344</v>
      </c>
      <c r="K6" s="13" t="s">
        <v>602</v>
      </c>
    </row>
    <row r="7" customFormat="false" ht="69.75" hidden="false" customHeight="true" outlineLevel="0" collapsed="false">
      <c r="A7" s="16" t="n">
        <v>3</v>
      </c>
      <c r="B7" s="14" t="s">
        <v>603</v>
      </c>
      <c r="C7" s="17" t="s">
        <v>604</v>
      </c>
      <c r="D7" s="16" t="s">
        <v>605</v>
      </c>
      <c r="E7" s="13" t="s">
        <v>606</v>
      </c>
      <c r="F7" s="13" t="s">
        <v>607</v>
      </c>
      <c r="G7" s="22" t="s">
        <v>608</v>
      </c>
      <c r="H7" s="22" t="s">
        <v>609</v>
      </c>
      <c r="I7" s="36" t="s">
        <v>610</v>
      </c>
      <c r="J7" s="16" t="s">
        <v>611</v>
      </c>
      <c r="K7" s="13" t="s">
        <v>612</v>
      </c>
    </row>
    <row r="8" customFormat="false" ht="69.75" hidden="false" customHeight="true" outlineLevel="0" collapsed="false">
      <c r="A8" s="16" t="n">
        <v>4</v>
      </c>
      <c r="B8" s="14" t="s">
        <v>613</v>
      </c>
      <c r="C8" s="17" t="s">
        <v>614</v>
      </c>
      <c r="D8" s="16" t="s">
        <v>615</v>
      </c>
      <c r="E8" s="13" t="s">
        <v>616</v>
      </c>
      <c r="F8" s="13" t="s">
        <v>617</v>
      </c>
      <c r="G8" s="37" t="s">
        <v>618</v>
      </c>
      <c r="H8" s="22" t="s">
        <v>619</v>
      </c>
      <c r="I8" s="38" t="s">
        <v>620</v>
      </c>
      <c r="J8" s="16" t="s">
        <v>428</v>
      </c>
      <c r="K8" s="13" t="s">
        <v>621</v>
      </c>
    </row>
  </sheetData>
  <mergeCells count="2">
    <mergeCell ref="A1:K1"/>
    <mergeCell ref="A2:K2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4"/>
    <col collapsed="false" customWidth="true" hidden="false" outlineLevel="0" max="3" min="3" style="0" width="12"/>
    <col collapsed="false" customWidth="true" hidden="false" outlineLevel="0" max="4" min="4" style="0" width="64"/>
  </cols>
  <sheetData>
    <row r="1" customFormat="false" ht="30" hidden="false" customHeight="true" outlineLevel="0" collapsed="false">
      <c r="A1" s="1" t="s">
        <v>622</v>
      </c>
      <c r="B1" s="1"/>
      <c r="C1" s="1"/>
      <c r="D1" s="1"/>
    </row>
    <row r="2" customFormat="false" ht="11.9" hidden="false" customHeight="false" outlineLevel="0" collapsed="false">
      <c r="A2" s="2" t="s">
        <v>623</v>
      </c>
      <c r="B2" s="2"/>
      <c r="C2" s="2"/>
      <c r="D2" s="2"/>
    </row>
    <row r="4" customFormat="false" ht="36" hidden="false" customHeight="true" outlineLevel="0" collapsed="false">
      <c r="A4" s="10" t="s">
        <v>624</v>
      </c>
      <c r="B4" s="10" t="s">
        <v>625</v>
      </c>
      <c r="C4" s="10" t="s">
        <v>626</v>
      </c>
      <c r="D4" s="10" t="s">
        <v>627</v>
      </c>
    </row>
    <row r="5" customFormat="false" ht="33.75" hidden="false" customHeight="true" outlineLevel="0" collapsed="false">
      <c r="A5" s="12" t="s">
        <v>628</v>
      </c>
      <c r="B5" s="13" t="s">
        <v>629</v>
      </c>
      <c r="C5" s="12" t="s">
        <v>630</v>
      </c>
      <c r="D5" s="17" t="s">
        <v>631</v>
      </c>
    </row>
    <row r="6" customFormat="false" ht="33.75" hidden="false" customHeight="true" outlineLevel="0" collapsed="false">
      <c r="A6" s="12" t="s">
        <v>632</v>
      </c>
      <c r="B6" s="13" t="s">
        <v>633</v>
      </c>
      <c r="C6" s="12" t="s">
        <v>630</v>
      </c>
      <c r="D6" s="17" t="s">
        <v>634</v>
      </c>
    </row>
    <row r="7" customFormat="false" ht="33.75" hidden="false" customHeight="true" outlineLevel="0" collapsed="false">
      <c r="A7" s="12" t="s">
        <v>635</v>
      </c>
      <c r="B7" s="13" t="s">
        <v>636</v>
      </c>
      <c r="C7" s="12" t="str">
        <f aca="false">IF(COUNTIFS(FMEA!G5:G29,"&gt;=9",FMEA!N5:N29,"&lt;&gt;CRITICAL")=0,"✓","✗")</f>
        <v>✓</v>
      </c>
      <c r="D7" s="13" t="s">
        <v>637</v>
      </c>
    </row>
    <row r="8" customFormat="false" ht="33.75" hidden="false" customHeight="true" outlineLevel="0" collapsed="false">
      <c r="A8" s="12" t="s">
        <v>638</v>
      </c>
      <c r="B8" s="13" t="s">
        <v>639</v>
      </c>
      <c r="C8" s="12" t="s">
        <v>630</v>
      </c>
      <c r="D8" s="13" t="s">
        <v>640</v>
      </c>
    </row>
    <row r="9" customFormat="false" ht="33.75" hidden="false" customHeight="true" outlineLevel="0" collapsed="false">
      <c r="A9" s="12" t="s">
        <v>641</v>
      </c>
      <c r="B9" s="13" t="s">
        <v>642</v>
      </c>
      <c r="C9" s="12" t="s">
        <v>643</v>
      </c>
      <c r="D9" s="13" t="s">
        <v>644</v>
      </c>
    </row>
    <row r="10" customFormat="false" ht="33.75" hidden="false" customHeight="true" outlineLevel="0" collapsed="false">
      <c r="A10" s="12" t="s">
        <v>645</v>
      </c>
      <c r="B10" s="13" t="s">
        <v>646</v>
      </c>
      <c r="C10" s="12" t="s">
        <v>643</v>
      </c>
      <c r="D10" s="13" t="s">
        <v>647</v>
      </c>
    </row>
    <row r="11" customFormat="false" ht="33.75" hidden="false" customHeight="true" outlineLevel="0" collapsed="false">
      <c r="A11" s="12" t="s">
        <v>648</v>
      </c>
      <c r="B11" s="13" t="s">
        <v>649</v>
      </c>
      <c r="C11" s="12" t="s">
        <v>643</v>
      </c>
      <c r="D11" s="17" t="s">
        <v>650</v>
      </c>
    </row>
    <row r="12" customFormat="false" ht="33.75" hidden="false" customHeight="true" outlineLevel="0" collapsed="false">
      <c r="A12" s="12" t="s">
        <v>651</v>
      </c>
      <c r="B12" s="13" t="s">
        <v>652</v>
      </c>
      <c r="C12" s="12" t="str">
        <f aca="false">IF(COUNTIFS(FMEA!N5:N29,"CRITICAL",FMEA!O5:O29,"ขาด")=0,"✓","✗")</f>
        <v>✓</v>
      </c>
      <c r="D12" s="13" t="s">
        <v>653</v>
      </c>
    </row>
    <row r="13" customFormat="false" ht="33.75" hidden="false" customHeight="true" outlineLevel="0" collapsed="false">
      <c r="A13" s="12" t="s">
        <v>654</v>
      </c>
      <c r="B13" s="13" t="s">
        <v>655</v>
      </c>
      <c r="C13" s="12" t="s">
        <v>643</v>
      </c>
      <c r="D13" s="13" t="s">
        <v>656</v>
      </c>
    </row>
    <row r="14" customFormat="false" ht="33.75" hidden="false" customHeight="true" outlineLevel="0" collapsed="false">
      <c r="A14" s="12" t="s">
        <v>657</v>
      </c>
      <c r="B14" s="13" t="s">
        <v>658</v>
      </c>
      <c r="C14" s="12" t="s">
        <v>630</v>
      </c>
      <c r="D14" s="17" t="s">
        <v>659</v>
      </c>
    </row>
  </sheetData>
  <mergeCells count="2">
    <mergeCell ref="A1:D1"/>
    <mergeCell ref="A2:D2"/>
  </mergeCells>
  <conditionalFormatting sqref="C5:C14">
    <cfRule type="cellIs" priority="2" operator="equal" aboveAverage="0" equalAverage="0" bottom="0" percent="0" rank="0" text="" dxfId="5">
      <formula>"✓"</formula>
    </cfRule>
    <cfRule type="cellIs" priority="3" operator="equal" aboveAverage="0" equalAverage="0" bottom="0" percent="0" rank="0" text="" dxfId="6">
      <formula>"△"</formula>
    </cfRule>
    <cfRule type="cellIs" priority="4" operator="equal" aboveAverage="0" equalAverage="0" bottom="0" percent="0" rank="0" text="" dxfId="4">
      <formula>"✗"</formula>
    </cfRule>
  </conditionalFormatting>
  <printOptions headings="false" gridLines="false" gridLinesSet="true" horizontalCentered="true" verticalCentered="false"/>
  <pageMargins left="0.3" right="0.3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40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8"/>
  </cols>
  <sheetData>
    <row r="1" customFormat="false" ht="30" hidden="false" customHeight="true" outlineLevel="0" collapsed="false">
      <c r="A1" s="1" t="s">
        <v>660</v>
      </c>
      <c r="B1" s="1"/>
      <c r="C1" s="1"/>
      <c r="D1" s="1"/>
      <c r="E1" s="1"/>
      <c r="F1" s="1"/>
      <c r="G1" s="1"/>
    </row>
    <row r="2" customFormat="false" ht="11.9" hidden="false" customHeight="false" outlineLevel="0" collapsed="false">
      <c r="A2" s="2" t="s">
        <v>661</v>
      </c>
      <c r="B2" s="2"/>
      <c r="C2" s="2"/>
      <c r="D2" s="2"/>
      <c r="E2" s="2"/>
      <c r="F2" s="2"/>
      <c r="G2" s="2"/>
    </row>
    <row r="4" customFormat="false" ht="36" hidden="false" customHeight="true" outlineLevel="0" collapsed="false">
      <c r="A4" s="10" t="s">
        <v>324</v>
      </c>
      <c r="B4" s="10" t="s">
        <v>662</v>
      </c>
      <c r="C4" s="10" t="s">
        <v>663</v>
      </c>
      <c r="D4" s="10" t="s">
        <v>664</v>
      </c>
      <c r="E4" s="10" t="s">
        <v>665</v>
      </c>
      <c r="F4" s="10" t="s">
        <v>666</v>
      </c>
      <c r="G4" s="10" t="s">
        <v>667</v>
      </c>
    </row>
    <row r="5" customFormat="false" ht="36" hidden="false" customHeight="true" outlineLevel="0" collapsed="false">
      <c r="A5" s="16" t="n">
        <v>1</v>
      </c>
      <c r="B5" s="13" t="s">
        <v>668</v>
      </c>
      <c r="C5" s="13" t="s">
        <v>669</v>
      </c>
      <c r="D5" s="15" t="s">
        <v>47</v>
      </c>
      <c r="E5" s="39"/>
      <c r="F5" s="39"/>
      <c r="G5" s="39"/>
    </row>
    <row r="6" customFormat="false" ht="36" hidden="false" customHeight="true" outlineLevel="0" collapsed="false">
      <c r="A6" s="16" t="n">
        <v>2</v>
      </c>
      <c r="B6" s="13" t="s">
        <v>670</v>
      </c>
      <c r="C6" s="13" t="s">
        <v>671</v>
      </c>
      <c r="D6" s="15" t="s">
        <v>47</v>
      </c>
      <c r="E6" s="39"/>
      <c r="F6" s="39"/>
      <c r="G6" s="39"/>
    </row>
    <row r="7" customFormat="false" ht="36" hidden="false" customHeight="true" outlineLevel="0" collapsed="false">
      <c r="A7" s="16" t="n">
        <v>3</v>
      </c>
      <c r="B7" s="13" t="s">
        <v>672</v>
      </c>
      <c r="C7" s="13" t="s">
        <v>673</v>
      </c>
      <c r="D7" s="17" t="s">
        <v>674</v>
      </c>
      <c r="E7" s="39"/>
      <c r="F7" s="39"/>
      <c r="G7" s="39"/>
    </row>
    <row r="8" customFormat="false" ht="36" hidden="false" customHeight="true" outlineLevel="0" collapsed="false">
      <c r="A8" s="16" t="n">
        <v>4</v>
      </c>
      <c r="B8" s="13" t="s">
        <v>675</v>
      </c>
      <c r="C8" s="13" t="s">
        <v>676</v>
      </c>
      <c r="D8" s="17" t="s">
        <v>677</v>
      </c>
      <c r="E8" s="39"/>
      <c r="F8" s="39"/>
      <c r="G8" s="39"/>
    </row>
    <row r="9" customFormat="false" ht="36" hidden="false" customHeight="true" outlineLevel="0" collapsed="false">
      <c r="A9" s="16" t="n">
        <v>5</v>
      </c>
      <c r="B9" s="17" t="s">
        <v>678</v>
      </c>
      <c r="C9" s="13" t="s">
        <v>679</v>
      </c>
      <c r="D9" s="13" t="s">
        <v>680</v>
      </c>
      <c r="E9" s="39"/>
      <c r="F9" s="39"/>
      <c r="G9" s="39"/>
    </row>
    <row r="10" customFormat="false" ht="36" hidden="false" customHeight="true" outlineLevel="0" collapsed="false">
      <c r="A10" s="16" t="n">
        <v>6</v>
      </c>
      <c r="B10" s="13" t="s">
        <v>681</v>
      </c>
      <c r="C10" s="13" t="s">
        <v>682</v>
      </c>
      <c r="D10" s="13" t="s">
        <v>680</v>
      </c>
      <c r="E10" s="39"/>
      <c r="F10" s="39"/>
      <c r="G10" s="39"/>
    </row>
    <row r="11" customFormat="false" ht="36" hidden="false" customHeight="true" outlineLevel="0" collapsed="false">
      <c r="A11" s="16" t="n">
        <v>7</v>
      </c>
      <c r="B11" s="13" t="s">
        <v>683</v>
      </c>
      <c r="C11" s="13" t="s">
        <v>684</v>
      </c>
      <c r="D11" s="13" t="s">
        <v>685</v>
      </c>
      <c r="E11" s="39"/>
      <c r="F11" s="39"/>
      <c r="G11" s="39"/>
    </row>
    <row r="12" customFormat="false" ht="36" hidden="false" customHeight="true" outlineLevel="0" collapsed="false">
      <c r="A12" s="16" t="n">
        <v>8</v>
      </c>
      <c r="B12" s="13" t="s">
        <v>686</v>
      </c>
      <c r="C12" s="13" t="s">
        <v>687</v>
      </c>
      <c r="D12" s="17" t="s">
        <v>688</v>
      </c>
      <c r="E12" s="39"/>
      <c r="F12" s="39"/>
      <c r="G12" s="39"/>
    </row>
    <row r="13" customFormat="false" ht="36" hidden="false" customHeight="true" outlineLevel="0" collapsed="false">
      <c r="A13" s="16" t="n">
        <v>9</v>
      </c>
      <c r="B13" s="13" t="s">
        <v>689</v>
      </c>
      <c r="C13" s="13" t="s">
        <v>690</v>
      </c>
      <c r="D13" s="17" t="s">
        <v>691</v>
      </c>
      <c r="E13" s="39"/>
      <c r="F13" s="39"/>
      <c r="G13" s="39"/>
    </row>
  </sheetData>
  <mergeCells count="2">
    <mergeCell ref="A1:G1"/>
    <mergeCell ref="A2:G2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2026-10-05T06:32:46Z</dcterms:created>
  <dc:creator>openpyxl</dc:creator>
  <dc:description/>
  <dc:language>en-US</dc:language>
  <cp:lastModifiedBy/>
  <dcterms:modified xsi:type="dcterms:W3CDTF">2026-10-05T06:32:46Z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