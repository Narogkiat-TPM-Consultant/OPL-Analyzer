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_To_Use" sheetId="1" state="visible" r:id="rId3"/>
    <sheet name="AM_Calendar" sheetId="2" state="visible" r:id="rId4"/>
    <sheet name="Monthly_Load" sheetId="3" state="visible" r:id="rId5"/>
    <sheet name="Periodic_Record" sheetId="4" state="visible" r:id="rId6"/>
    <sheet name="To_Confirm" sheetId="5" state="visible" r:id="rId7"/>
  </sheets>
  <definedNames>
    <definedName function="false" hidden="false" localSheetId="1" name="_xlnm.Print_Titles" vbProcedure="false">AM_Calendar!$4:$4</definedName>
    <definedName function="false" hidden="false" localSheetId="3" name="_xlnm.Print_Titles" vbProcedure="false">Periodic_Record!$4:$4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<sst xmlns="http://schemas.openxmlformats.org/spreadsheetml/2006/main" count="1318" uniqueCount="348">
  <si>
    <r>
      <rPr>
        <b val="true"/>
        <sz val="15"/>
        <color rgb="FFFFFFFF"/>
        <rFont val="Tahoma"/>
        <family val="0"/>
        <charset val="1"/>
      </rPr>
      <t xml:space="preserve">AM Calendar — ไฮดรอลิก + ระบบลม (</t>
    </r>
    <r>
      <rPr>
        <b val="true"/>
        <sz val="15"/>
        <color rgb="FFFFFFFF"/>
        <rFont val="WenQuanYi Zen Hei"/>
        <family val="2"/>
      </rPr>
      <t xml:space="preserve">自主保全カレンダー </t>
    </r>
    <r>
      <rPr>
        <b val="true"/>
        <sz val="15"/>
        <color rgb="FFFFFFFF"/>
        <rFont val="Tahoma"/>
        <family val="0"/>
        <charset val="1"/>
      </rPr>
      <t xml:space="preserve">= ปฏิทิน AM รวม)</t>
    </r>
  </si>
  <si>
    <t xml:space="preserve">รวมกิจกรรม CILT จาก AM_Standard_Hydraulic_Unit.xlsx และ AM_Standard_Pneumatic_System.xlsx ลงปฏิทินเดียว สำหรับเครื่องที่มีทั้ง 2 ระบบ</t>
  </si>
  <si>
    <t xml:space="preserve">ชีท</t>
  </si>
  <si>
    <t xml:space="preserve">ใช้ทำอะไร</t>
  </si>
  <si>
    <t xml:space="preserve">AM_Calendar</t>
  </si>
  <si>
    <t xml:space="preserve">กิจกรรมทั้ง 2 ระบบ × 12 เดือน · No. H-xx / P-xx = ลำดับในชีท AM_Standard ของแต่ละระบบ · เลื่อนเดือนของงานตามรอบได้ (แก้ตัวอักษรในช่องเดือน)</t>
  </si>
  <si>
    <t xml:space="preserve">Monthly_Load</t>
  </si>
  <si>
    <t xml:space="preserve">เวลา AM ต่อเดือน (นาที) แยกระบบและงาน PM · ใช้สูตรอ่านจาก AM_Calendar · ช่องเหลือง = วันทำงาน/สัปดาห์ต่อเดือน</t>
  </si>
  <si>
    <t xml:space="preserve">Periodic_Record</t>
  </si>
  <si>
    <t xml:space="preserve">แผน vs ผลจริงของงานตามรอบ (3M / 6M / 1Y) · กรอกวันที่ทำ ผู้ทำ ผล · % ทำตามแผนคำนวณเอง</t>
  </si>
  <si>
    <t xml:space="preserve">To_Confirm</t>
  </si>
  <si>
    <t xml:space="preserve">ประเด็นที่ต้องยืนยันก่อนใช้จริง</t>
  </si>
  <si>
    <t xml:space="preserve">รหัสความถี่</t>
  </si>
  <si>
    <t xml:space="preserve">D = ทุกวัน · W = รายสัปดาห์ · Q = ทุก 3 เดือน · S = ทุก 6 เดือน · A = ทุก 1 ปี · งาน “เมื่อพบ / ทุกครั้งที่ซ่อม” ไม่มีเดือน</t>
  </si>
  <si>
    <r>
      <rPr>
        <b val="true"/>
        <sz val="10"/>
        <color rgb="FF1A1D21"/>
        <rFont val="Tahoma"/>
        <family val="0"/>
        <charset val="1"/>
      </rPr>
      <t xml:space="preserve">เกลี่ยภาระ (</t>
    </r>
    <r>
      <rPr>
        <b val="true"/>
        <sz val="10"/>
        <color rgb="FF1A1D21"/>
        <rFont val="WenQuanYi Zen Hei"/>
        <family val="2"/>
      </rPr>
      <t xml:space="preserve">平準化</t>
    </r>
    <r>
      <rPr>
        <b val="true"/>
        <sz val="10"/>
        <color rgb="FF1A1D21"/>
        <rFont val="Tahoma"/>
        <family val="0"/>
        <charset val="1"/>
      </rPr>
      <t xml:space="preserve">)</t>
    </r>
  </si>
  <si>
    <t xml:space="preserve">ไฮดรอลิก: Q = ทุก 3 เดือน (มี.ค. มิ.ย. ก.ย. ธ.ค. *) · S = ทุก 6 เดือน (มิ.ย. ธ.ค. *) · A = ทุก 1 ปี (ธ.ค. *)
ระบบลม: Q = ทุก 3 เดือน (ม.ค. เม.ย. ก.ค. ต.ค. *) · S = ทุก 6 เดือน (มิ.ย. ธ.ค. *) · A = ทุก 1 ปี (ก.ค. *)
เหตุผล: ไม่ให้งานถอดตรวจ 1 ปีของทั้ง 2 ระบบตกเดือนเดียวกัน (ข้อเสนอ * ให้วางตามแผนหยุดเครื่องจริง)</t>
  </si>
  <si>
    <t xml:space="preserve">บันทึกงานรายวัน/สัปดาห์</t>
  </si>
  <si>
    <t xml:space="preserve">ใช้ AM_Check_Sheet ของแต่ละระบบ (คอลัมน์สุดท้ายของ AM_Calendar บอกเลขข้อ)</t>
  </si>
  <si>
    <t xml:space="preserve">Risk</t>
  </si>
  <si>
    <t xml:space="preserve">ค่าจาก FMEA ใน AM Standard ณ วันที่สร้างไฟล์ · ถ้าแก้ S/O/D ใน AM Standard ให้รันสคริปต์สร้างไฟล์นี้ใหม่</t>
  </si>
  <si>
    <t xml:space="preserve">ป้ายที่มา</t>
  </si>
  <si>
    <t xml:space="preserve">* = ข้อเสนอ · [DATA REQUIRED] = ข้อมูลของโรงงาน (ช่องเหลือง) · เวลา = ประมาณการจาก AM Standard [INFER]</t>
  </si>
  <si>
    <t xml:space="preserve">AM Calendar รวม — ไฮดรอลิก + ระบบลม · ปี ……</t>
  </si>
  <si>
    <t xml:space="preserve">D ทุกวัน · W รายสัปดาห์ · Q 3 เดือน · S 6 เดือน · A 1 ปี · เดือนของงานตามรอบเกลี่ยแล้ว (ข้อเสนอ *) · แก้ตัวอักษรในช่องเดือนได้ ชีท Monthly_Load จะคำนวณใหม่</t>
  </si>
  <si>
    <t xml:space="preserve">No.</t>
  </si>
  <si>
    <t xml:space="preserve">ระบบ</t>
  </si>
  <si>
    <t xml:space="preserve">Part ID</t>
  </si>
  <si>
    <t xml:space="preserve">กิจกรรม (Check point)</t>
  </si>
  <si>
    <t xml:space="preserve">CILT</t>
  </si>
  <si>
    <t xml:space="preserve">ความถี่</t>
  </si>
  <si>
    <t xml:space="preserve">เวลา (นาที)</t>
  </si>
  <si>
    <t xml:space="preserve">ผู้รับผิดชอบ</t>
  </si>
  <si>
    <t xml:space="preserve">ม.ค.</t>
  </si>
  <si>
    <t xml:space="preserve">ก.พ.</t>
  </si>
  <si>
    <t xml:space="preserve">มี.ค.</t>
  </si>
  <si>
    <t xml:space="preserve">เม.ย.</t>
  </si>
  <si>
    <t xml:space="preserve">พ.ค.</t>
  </si>
  <si>
    <t xml:space="preserve">มิ.ย.</t>
  </si>
  <si>
    <t xml:space="preserve">ก.ค.</t>
  </si>
  <si>
    <t xml:space="preserve">ส.ค.</t>
  </si>
  <si>
    <t xml:space="preserve">ก.ย.</t>
  </si>
  <si>
    <t xml:space="preserve">ต.ค.</t>
  </si>
  <si>
    <t xml:space="preserve">พ.ย.</t>
  </si>
  <si>
    <t xml:space="preserve">ธ.ค.</t>
  </si>
  <si>
    <t xml:space="preserve">ข้อใน AM Check Sheet</t>
  </si>
  <si>
    <t xml:space="preserve">ระบบไฮดรอลิก</t>
  </si>
  <si>
    <t xml:space="preserve">① ถังน้ำมันและน้ำมัน (Oil tank &amp; oil)</t>
  </si>
  <si>
    <t xml:space="preserve">H-01</t>
  </si>
  <si>
    <t xml:space="preserve">ไฮดรอลิก</t>
  </si>
  <si>
    <t xml:space="preserve">H01</t>
  </si>
  <si>
    <t xml:space="preserve">ภายนอก Hydraulic unit · ถัง · พื้นรอบเครื่อง</t>
  </si>
  <si>
    <t xml:space="preserve">C</t>
  </si>
  <si>
    <t xml:space="preserve">D · หลังเลิกงาน</t>
  </si>
  <si>
    <t xml:space="preserve">HIGH</t>
  </si>
  <si>
    <t xml:space="preserve">Operator</t>
  </si>
  <si>
    <t xml:space="preserve">D</t>
  </si>
  <si>
    <t xml:space="preserve">D11, D12, D13</t>
  </si>
  <si>
    <t xml:space="preserve">H-02</t>
  </si>
  <si>
    <t xml:space="preserve">H02</t>
  </si>
  <si>
    <t xml:space="preserve">ระดับน้ำมันในถัง</t>
  </si>
  <si>
    <t xml:space="preserve">I/L</t>
  </si>
  <si>
    <t xml:space="preserve">CRITICAL</t>
  </si>
  <si>
    <t xml:space="preserve">D15</t>
  </si>
  <si>
    <t xml:space="preserve">H-03</t>
  </si>
  <si>
    <t xml:space="preserve">H03</t>
  </si>
  <si>
    <t xml:space="preserve">สีน้ำมัน (ดูที่เกจระดับ)</t>
  </si>
  <si>
    <t xml:space="preserve">I</t>
  </si>
  <si>
    <t xml:space="preserve">D16</t>
  </si>
  <si>
    <t xml:space="preserve">H-04</t>
  </si>
  <si>
    <t xml:space="preserve">H04</t>
  </si>
  <si>
    <t xml:space="preserve">อุณหภูมิน้ำมัน</t>
  </si>
  <si>
    <t xml:space="preserve">D18</t>
  </si>
  <si>
    <t xml:space="preserve">H-05</t>
  </si>
  <si>
    <t xml:space="preserve">H05</t>
  </si>
  <si>
    <t xml:space="preserve">Air breather</t>
  </si>
  <si>
    <t xml:space="preserve">W *</t>
  </si>
  <si>
    <t xml:space="preserve">W</t>
  </si>
  <si>
    <t xml:space="preserve">D17</t>
  </si>
  <si>
    <t xml:space="preserve">H-06</t>
  </si>
  <si>
    <t xml:space="preserve">H06</t>
  </si>
  <si>
    <t xml:space="preserve">Filter indicator (ตอนเริ่มเดิน)</t>
  </si>
  <si>
    <t xml:space="preserve">D · เริ่มเดิน</t>
  </si>
  <si>
    <t xml:space="preserve">D3</t>
  </si>
  <si>
    <t xml:space="preserve">H-07</t>
  </si>
  <si>
    <t xml:space="preserve">Filter: Vacuum meter / Indicator</t>
  </si>
  <si>
    <t xml:space="preserve">6M</t>
  </si>
  <si>
    <t xml:space="preserve">Operator / PM *</t>
  </si>
  <si>
    <t xml:space="preserve">S</t>
  </si>
  <si>
    <t xml:space="preserve">P1, P2</t>
  </si>
  <si>
    <t xml:space="preserve">② ชุดปั๊ม (Pump unit)</t>
  </si>
  <si>
    <t xml:space="preserve">H-08</t>
  </si>
  <si>
    <t xml:space="preserve">H07</t>
  </si>
  <si>
    <t xml:space="preserve">เสียงปั๊มตอนเริ่มเดิน</t>
  </si>
  <si>
    <t xml:space="preserve">D1, D4</t>
  </si>
  <si>
    <t xml:space="preserve">H-09</t>
  </si>
  <si>
    <t xml:space="preserve">H08</t>
  </si>
  <si>
    <t xml:space="preserve">เพลาปั๊ม (Shaft seal): รั่ว · ฟองอากาศในถัง</t>
  </si>
  <si>
    <t xml:space="preserve">D4, D12</t>
  </si>
  <si>
    <t xml:space="preserve">H-10</t>
  </si>
  <si>
    <t xml:space="preserve">H10</t>
  </si>
  <si>
    <t xml:space="preserve">สั่น/ร้อน ปั๊ม · มอเตอร์</t>
  </si>
  <si>
    <t xml:space="preserve">D · ขณะเดิน</t>
  </si>
  <si>
    <t xml:space="preserve">D6</t>
  </si>
  <si>
    <t xml:space="preserve">H-11</t>
  </si>
  <si>
    <t xml:space="preserve">H09</t>
  </si>
  <si>
    <t xml:space="preserve">Coupling: ตั้งศูนย์ + จาระบี</t>
  </si>
  <si>
    <t xml:space="preserve">A/L</t>
  </si>
  <si>
    <t xml:space="preserve">1Y *</t>
  </si>
  <si>
    <t xml:space="preserve">PM</t>
  </si>
  <si>
    <t xml:space="preserve">A</t>
  </si>
  <si>
    <t xml:space="preserve">—</t>
  </si>
  <si>
    <t xml:space="preserve">H-12</t>
  </si>
  <si>
    <t xml:space="preserve">H11</t>
  </si>
  <si>
    <t xml:space="preserve">โบลต์ฝาปั๊ม (หลังงานซ่อม)</t>
  </si>
  <si>
    <t xml:space="preserve">T</t>
  </si>
  <si>
    <t xml:space="preserve">ทุกครั้งที่ซ่อม *</t>
  </si>
  <si>
    <t xml:space="preserve">③ วาล์วควบคุม (Control valves)</t>
  </si>
  <si>
    <t xml:space="preserve">H-13</t>
  </si>
  <si>
    <t xml:space="preserve">H12</t>
  </si>
  <si>
    <t xml:space="preserve">Relief valve: Lock nut + แรงดันขณะทำงาน</t>
  </si>
  <si>
    <t xml:space="preserve">I/T</t>
  </si>
  <si>
    <t xml:space="preserve">D2, D5, D8</t>
  </si>
  <si>
    <t xml:space="preserve">H-14</t>
  </si>
  <si>
    <t xml:space="preserve">H13</t>
  </si>
  <si>
    <t xml:space="preserve">Relief valve: รั่วจากแต่ละส่วน</t>
  </si>
  <si>
    <t xml:space="preserve">W9</t>
  </si>
  <si>
    <t xml:space="preserve">H-15</t>
  </si>
  <si>
    <t xml:space="preserve">Relief valve: ทดสอบหมุน Handle</t>
  </si>
  <si>
    <t xml:space="preserve">I/A</t>
  </si>
  <si>
    <t xml:space="preserve">6M *</t>
  </si>
  <si>
    <t xml:space="preserve">ผู้ได้รับมอบหมาย *</t>
  </si>
  <si>
    <t xml:space="preserve">P7</t>
  </si>
  <si>
    <t xml:space="preserve">H-16</t>
  </si>
  <si>
    <t xml:space="preserve">H14</t>
  </si>
  <si>
    <t xml:space="preserve">เกจแรงดัน: ชี้ 0 หลังเลิกงาน</t>
  </si>
  <si>
    <t xml:space="preserve">D10</t>
  </si>
  <si>
    <t xml:space="preserve">H-17</t>
  </si>
  <si>
    <t xml:space="preserve">แถบสีเขียว/แดงบนเกจและเทอร์โมมิเตอร์</t>
  </si>
  <si>
    <t xml:space="preserve">W13</t>
  </si>
  <si>
    <t xml:space="preserve">H-18</t>
  </si>
  <si>
    <t xml:space="preserve">H15</t>
  </si>
  <si>
    <t xml:space="preserve">Solenoid valve: เสียงคราง “บูน”</t>
  </si>
  <si>
    <t xml:space="preserve">D9</t>
  </si>
  <si>
    <t xml:space="preserve">H-19</t>
  </si>
  <si>
    <t xml:space="preserve">H16</t>
  </si>
  <si>
    <t xml:space="preserve">Solenoid valve: สลับทิศราบรื่น</t>
  </si>
  <si>
    <t xml:space="preserve">D7, D9</t>
  </si>
  <si>
    <t xml:space="preserve">H-20</t>
  </si>
  <si>
    <t xml:space="preserve">H17</t>
  </si>
  <si>
    <t xml:space="preserve">Solenoid valve: รั่ว · โบลต์ · สายไฟ</t>
  </si>
  <si>
    <t xml:space="preserve">C/I/T</t>
  </si>
  <si>
    <t xml:space="preserve">W10, W11, W12</t>
  </si>
  <si>
    <t xml:space="preserve">H-21</t>
  </si>
  <si>
    <t xml:space="preserve">H18</t>
  </si>
  <si>
    <t xml:space="preserve">การเคลื่อนที่ + เวลาต่อรอบ</t>
  </si>
  <si>
    <t xml:space="preserve">D7</t>
  </si>
  <si>
    <t xml:space="preserve">④ กระบอกสูบ (Actuator)</t>
  </si>
  <si>
    <t xml:space="preserve">H-22</t>
  </si>
  <si>
    <t xml:space="preserve">H19</t>
  </si>
  <si>
    <t xml:space="preserve">ก้านสูบ / ส่วนเลื่อน</t>
  </si>
  <si>
    <t xml:space="preserve">D14</t>
  </si>
  <si>
    <t xml:space="preserve">H-23</t>
  </si>
  <si>
    <t xml:space="preserve">H20</t>
  </si>
  <si>
    <t xml:space="preserve">ก้านสูบ · Dust seal · รอยรั่ว</t>
  </si>
  <si>
    <t xml:space="preserve">W1, W3, W4</t>
  </si>
  <si>
    <t xml:space="preserve">H-24</t>
  </si>
  <si>
    <t xml:space="preserve">H21</t>
  </si>
  <si>
    <t xml:space="preserve">โบลต์ / น็อต กระบอกสูบ</t>
  </si>
  <si>
    <t xml:space="preserve">W2</t>
  </si>
  <si>
    <t xml:space="preserve">H-25</t>
  </si>
  <si>
    <t xml:space="preserve">H22</t>
  </si>
  <si>
    <t xml:space="preserve">Cushion valve</t>
  </si>
  <si>
    <t xml:space="preserve">เมื่อพบ *</t>
  </si>
  <si>
    <t xml:space="preserve">⑤ ท่อ · สาย · ซีล (Piping)</t>
  </si>
  <si>
    <t xml:space="preserve">H-26</t>
  </si>
  <si>
    <t xml:space="preserve">H23</t>
  </si>
  <si>
    <t xml:space="preserve">สายแรงดันสูง</t>
  </si>
  <si>
    <t xml:space="preserve">W5, W6, W8</t>
  </si>
  <si>
    <t xml:space="preserve">H-27</t>
  </si>
  <si>
    <t xml:space="preserve">H25</t>
  </si>
  <si>
    <t xml:space="preserve">ข้อต่อท่อ · O-ring: รอยรั่ว</t>
  </si>
  <si>
    <t xml:space="preserve">D12, D13</t>
  </si>
  <si>
    <t xml:space="preserve">H-28</t>
  </si>
  <si>
    <t xml:space="preserve">H24</t>
  </si>
  <si>
    <t xml:space="preserve">Lock clamp · Band</t>
  </si>
  <si>
    <t xml:space="preserve">T/I</t>
  </si>
  <si>
    <t xml:space="preserve">W7</t>
  </si>
  <si>
    <t xml:space="preserve">ระบบลม</t>
  </si>
  <si>
    <t xml:space="preserve">① ระบบท่อลม (Air piping)</t>
  </si>
  <si>
    <t xml:space="preserve">P-01</t>
  </si>
  <si>
    <t xml:space="preserve">P02</t>
  </si>
  <si>
    <t xml:space="preserve">ท่อลมสั่น · หน้าแปลน · โบลต์ · ที่ยึดท่อ</t>
  </si>
  <si>
    <t xml:space="preserve">D6, D10</t>
  </si>
  <si>
    <t xml:space="preserve">P-02</t>
  </si>
  <si>
    <t xml:space="preserve">P01</t>
  </si>
  <si>
    <t xml:space="preserve">ลมรั่ว: ระบบท่อ (Table 2)</t>
  </si>
  <si>
    <t xml:space="preserve">3M</t>
  </si>
  <si>
    <t xml:space="preserve">Q</t>
  </si>
  <si>
    <t xml:space="preserve">② ชุด 3 ตัว (FRL)</t>
  </si>
  <si>
    <t xml:space="preserve">P-03</t>
  </si>
  <si>
    <t xml:space="preserve">P03</t>
  </si>
  <si>
    <t xml:space="preserve">Drain ที่ Air filter</t>
  </si>
  <si>
    <t xml:space="preserve">D · ต้นกะ *</t>
  </si>
  <si>
    <t xml:space="preserve">D1</t>
  </si>
  <si>
    <t xml:space="preserve">P-04</t>
  </si>
  <si>
    <t xml:space="preserve">P04</t>
  </si>
  <si>
    <t xml:space="preserve">ถ้วยกรอง / ถ้วยน้ำมัน: แตกร้าว</t>
  </si>
  <si>
    <t xml:space="preserve">D4</t>
  </si>
  <si>
    <t xml:space="preserve">P-05</t>
  </si>
  <si>
    <t xml:space="preserve">P05</t>
  </si>
  <si>
    <t xml:space="preserve">เข็มเกจ Regulator แกว่ง (ไส้กรองตัน)</t>
  </si>
  <si>
    <t xml:space="preserve">D8</t>
  </si>
  <si>
    <t xml:space="preserve">P-06</t>
  </si>
  <si>
    <t xml:space="preserve">P06</t>
  </si>
  <si>
    <t xml:space="preserve">Regulator: Lock nut</t>
  </si>
  <si>
    <t xml:space="preserve">D2</t>
  </si>
  <si>
    <t xml:space="preserve">P-07</t>
  </si>
  <si>
    <t xml:space="preserve">P08</t>
  </si>
  <si>
    <t xml:space="preserve">เกจแรงดัน: อยู่ในช่วงใช้งาน</t>
  </si>
  <si>
    <t xml:space="preserve">P-08</t>
  </si>
  <si>
    <t xml:space="preserve">เกจ: กระจก · เข็ม · แถบเขียว</t>
  </si>
  <si>
    <t xml:space="preserve">P-09</t>
  </si>
  <si>
    <t xml:space="preserve">P10</t>
  </si>
  <si>
    <t xml:space="preserve">Lubricator: หยดน้ำมัน</t>
  </si>
  <si>
    <t xml:space="preserve">P-10</t>
  </si>
  <si>
    <t xml:space="preserve">P09</t>
  </si>
  <si>
    <t xml:space="preserve">Lubricator: น้ำมันขุ่นขาว</t>
  </si>
  <si>
    <t xml:space="preserve">P-11</t>
  </si>
  <si>
    <t xml:space="preserve">P11</t>
  </si>
  <si>
    <t xml:space="preserve">Lubricator: เติมน้ำมัน</t>
  </si>
  <si>
    <t xml:space="preserve">L</t>
  </si>
  <si>
    <t xml:space="preserve">W (เดินหนัก ทุก 3 วัน)</t>
  </si>
  <si>
    <t xml:space="preserve">W1, W2</t>
  </si>
  <si>
    <t xml:space="preserve">P-12</t>
  </si>
  <si>
    <t xml:space="preserve">Auto drain: ทำงาน</t>
  </si>
  <si>
    <t xml:space="preserve">P1</t>
  </si>
  <si>
    <t xml:space="preserve">P-13</t>
  </si>
  <si>
    <t xml:space="preserve">Regulator: ลองหมุนปรับแรงดัน</t>
  </si>
  <si>
    <t xml:space="preserve">P2</t>
  </si>
  <si>
    <t xml:space="preserve">P-14</t>
  </si>
  <si>
    <t xml:space="preserve">เกจ: ปล่อยแรงดันแล้วชี้ 0</t>
  </si>
  <si>
    <t xml:space="preserve">P3</t>
  </si>
  <si>
    <t xml:space="preserve">P-15</t>
  </si>
  <si>
    <t xml:space="preserve">P07</t>
  </si>
  <si>
    <t xml:space="preserve">ถอดตรวจ FRL ภายใน: Case · Element · Diaphragm · สปริง · Packing · ความเที่ยงเกจ</t>
  </si>
  <si>
    <t xml:space="preserve">I/C</t>
  </si>
  <si>
    <t xml:space="preserve">1Y</t>
  </si>
  <si>
    <t xml:space="preserve">PM *</t>
  </si>
  <si>
    <t xml:space="preserve">P9, P10, P11</t>
  </si>
  <si>
    <t xml:space="preserve">P-16</t>
  </si>
  <si>
    <t xml:space="preserve">P13</t>
  </si>
  <si>
    <t xml:space="preserve">ความเร็วการทำงาน (สลับทิศราบรื่น)</t>
  </si>
  <si>
    <t xml:space="preserve">D5</t>
  </si>
  <si>
    <t xml:space="preserve">P-17</t>
  </si>
  <si>
    <t xml:space="preserve">P14</t>
  </si>
  <si>
    <t xml:space="preserve">Exhaust port: ละอองน้ำมัน · ลมรั่ว</t>
  </si>
  <si>
    <t xml:space="preserve">P4</t>
  </si>
  <si>
    <t xml:space="preserve">P-18</t>
  </si>
  <si>
    <t xml:space="preserve">P15</t>
  </si>
  <si>
    <t xml:space="preserve">Speed controller: ลองปรับความเร็ว</t>
  </si>
  <si>
    <t xml:space="preserve">LOW</t>
  </si>
  <si>
    <t xml:space="preserve">P5</t>
  </si>
  <si>
    <t xml:space="preserve">P-19</t>
  </si>
  <si>
    <t xml:space="preserve">P12</t>
  </si>
  <si>
    <t xml:space="preserve">ถอดตรวจ Solenoid valve: Coil · Core · Spool · O-ring</t>
  </si>
  <si>
    <t xml:space="preserve">P13, P14</t>
  </si>
  <si>
    <t xml:space="preserve">P-20</t>
  </si>
  <si>
    <t xml:space="preserve">P16</t>
  </si>
  <si>
    <t xml:space="preserve">ถอดตรวจ Relief valve · Speed controller</t>
  </si>
  <si>
    <t xml:space="preserve">P12, P15</t>
  </si>
  <si>
    <t xml:space="preserve">④ กระบอกสูบลม (Actuator)</t>
  </si>
  <si>
    <t xml:space="preserve">P-21</t>
  </si>
  <si>
    <t xml:space="preserve">P18</t>
  </si>
  <si>
    <t xml:space="preserve">ลมรั่วที่ก้านสูบ · อุปกรณ์ (Table 2)</t>
  </si>
  <si>
    <t xml:space="preserve">P6, P8</t>
  </si>
  <si>
    <t xml:space="preserve">P-22</t>
  </si>
  <si>
    <t xml:space="preserve">P17</t>
  </si>
  <si>
    <t xml:space="preserve">ถอดตรวจกระบอกสูบ: Tube · O-ring · Packing</t>
  </si>
  <si>
    <t xml:space="preserve">⑤ สายลม + การรัด (Air tube)</t>
  </si>
  <si>
    <t xml:space="preserve">P-23</t>
  </si>
  <si>
    <t xml:space="preserve">P19</t>
  </si>
  <si>
    <t xml:space="preserve">สายลมที่จุดรัด: บุบ · เสียดสี</t>
  </si>
  <si>
    <t xml:space="preserve">W4, W6</t>
  </si>
  <si>
    <t xml:space="preserve">P-24</t>
  </si>
  <si>
    <t xml:space="preserve">P20</t>
  </si>
  <si>
    <t xml:space="preserve">Binder · Lock band</t>
  </si>
  <si>
    <t xml:space="preserve">W5</t>
  </si>
  <si>
    <t xml:space="preserve">ทุกวัน</t>
  </si>
  <si>
    <t xml:space="preserve">รายสัปดาห์</t>
  </si>
  <si>
    <t xml:space="preserve">3 เดือน</t>
  </si>
  <si>
    <t xml:space="preserve">6 เดือน</t>
  </si>
  <si>
    <t xml:space="preserve">1 ปี</t>
  </si>
  <si>
    <t xml:space="preserve">Monthly Load — เวลา AM ต่อเดือน (นาที)</t>
  </si>
  <si>
    <t xml:space="preserve">สูตรอ่านจาก AM_Calendar · ช่องเหลือง = วันทำงาน / จำนวนสัปดาห์ต่อเดือน (ค่าตัวอย่าง [ASSUME] แก้ตามปฏิทินโรงงาน) · ตามรอบ = ผลรวมเวลาของ Q/S/A ในเดือนนั้น</t>
  </si>
  <si>
    <t xml:space="preserve">รายการ</t>
  </si>
  <si>
    <t xml:space="preserve">รวมทั้งปี</t>
  </si>
  <si>
    <t xml:space="preserve">วันทำงานในเดือน (ตัวอย่าง [ASSUME])</t>
  </si>
  <si>
    <t xml:space="preserve">จำนวนสัปดาห์ในเดือน (ตัวอย่าง [ASSUME])</t>
  </si>
  <si>
    <t xml:space="preserve">งานรายวัน (นาที/วัน × วันทำงาน)</t>
  </si>
  <si>
    <t xml:space="preserve">งานรายสัปดาห์ (นาที/สัปดาห์ × สัปดาห์)</t>
  </si>
  <si>
    <t xml:space="preserve">งานตามรอบ Q / S / A</t>
  </si>
  <si>
    <t xml:space="preserve">รวมไฮดรอลิก</t>
  </si>
  <si>
    <t xml:space="preserve">รวมระบบลม</t>
  </si>
  <si>
    <t xml:space="preserve">รวมทั้งสองระบบ (นาที/เดือน)</t>
  </si>
  <si>
    <t xml:space="preserve">ในนั้นเป็นงาน PM ตามรอบ (ผู้รับผิดชอบ PM)</t>
  </si>
  <si>
    <t xml:space="preserve">เดือนที่ภาระรวมสูงสุด</t>
  </si>
  <si>
    <t xml:space="preserve">เวลา AM รายวัน เทียบเป้า AM Step 3 (&lt; 10 นาที/กะ) — กรณีเครื่องเดียวมีทั้ง 2 ระบบ</t>
  </si>
  <si>
    <t xml:space="preserve">ไฮดรอลิก (นาที/วัน)</t>
  </si>
  <si>
    <t xml:space="preserve">ระบบลม (นาที/วัน)</t>
  </si>
  <si>
    <t xml:space="preserve">รวม 2 ระบบ (นาที/วัน)</t>
  </si>
  <si>
    <t xml:space="preserve">เกินเป้า → ใช้ Kaizen ในชีท Kaizen_IoT_CBM ของ AM Standard (เช่น Match mark · แผ่นซับใต้จุดรั่ว · Auto drain) และจับเวลาจริงก่อนสรุป</t>
  </si>
  <si>
    <t xml:space="preserve">Periodic Record — แผน vs ผลจริง งานตามรอบ (3M / 6M / 1Y)</t>
  </si>
  <si>
    <t xml:space="preserve">เดือนตามแผนมาจาก AM_Calendar ตอนสร้างไฟล์ (ถ้าเลื่อนเดือนในปฏิทิน ให้แก้ช่องเดือนที่นี่ด้วย) · ผล: ○ ปกติ · △ เฝ้าดู · × ผิดปกติ (ติด F-tag)</t>
  </si>
  <si>
    <t xml:space="preserve">กิจกรรม</t>
  </si>
  <si>
    <t xml:space="preserve">เดือนตามแผน</t>
  </si>
  <si>
    <t xml:space="preserve">วันที่ทำจริง</t>
  </si>
  <si>
    <t xml:space="preserve">ผู้ทำ</t>
  </si>
  <si>
    <t xml:space="preserve">ผล</t>
  </si>
  <si>
    <t xml:space="preserve">หมายเหตุ</t>
  </si>
  <si>
    <t xml:space="preserve">ทำตามแผนแล้ว (%)</t>
  </si>
  <si>
    <t xml:space="preserve">พบผิดปกติ (×)</t>
  </si>
  <si>
    <t xml:space="preserve">งานตามเหตุการณ์ (ไม่มีเดือน) — บันทึกเมื่อเกิด</t>
  </si>
  <si>
    <t xml:space="preserve">To Confirm — ประเด็นที่ต้องยืนยันก่อนใช้จริง</t>
  </si>
  <si>
    <t xml:space="preserve">ให้หัวหน้างาน / ฝ่ายซ่อมบำรุง / ฝ่ายวางแผนผลิต ยืนยัน</t>
  </si>
  <si>
    <t xml:space="preserve">ประเด็น</t>
  </si>
  <si>
    <t xml:space="preserve">รายละเอียด</t>
  </si>
  <si>
    <t xml:space="preserve">ที่มา / สถานะ</t>
  </si>
  <si>
    <t xml:space="preserve">ผู้ยืนยัน</t>
  </si>
  <si>
    <t xml:space="preserve">วันที่</t>
  </si>
  <si>
    <t xml:space="preserve">ผล / ค่าที่ใช้</t>
  </si>
  <si>
    <t xml:space="preserve">เดือนของงาน Q / S / A</t>
  </si>
  <si>
    <t xml:space="preserve">เกลี่ยแล้วไม่ให้ 1Y ของ 2 ระบบชนกัน · ต้องวางตรงแผนหยุดเครื่อง/วันหยุดยาว</t>
  </si>
  <si>
    <t xml:space="preserve">ข้อเสนอ *</t>
  </si>
  <si>
    <t xml:space="preserve">วันทำงานและจำนวนสัปดาห์ต่อเดือน</t>
  </si>
  <si>
    <t xml:space="preserve">ค่าตัวอย่าง 26 วัน / 4 สัปดาห์</t>
  </si>
  <si>
    <t xml:space="preserve">[ASSUME] → ปฏิทินโรงงาน</t>
  </si>
  <si>
    <t xml:space="preserve">เวลาต่อกิจกรรม</t>
  </si>
  <si>
    <t xml:space="preserve">ประมาณการจาก AM Standard · จับเวลาจริงช่วงทดลองใช้</t>
  </si>
  <si>
    <t xml:space="preserve">[INFER]</t>
  </si>
  <si>
    <t xml:space="preserve">งานรายวันทำกะไหน</t>
  </si>
  <si>
    <t xml:space="preserve">เวลา AM รายวันคิดครั้งเดียวต่อวัน · ถ้าแบ่งหลายกะ ให้กำหนดกะที่รับผิดชอบ</t>
  </si>
  <si>
    <t xml:space="preserve">[DATA REQUIRED]</t>
  </si>
  <si>
    <t xml:space="preserve">แบ่งงาน Operator (AM) / PM</t>
  </si>
  <si>
    <t xml:space="preserve">ผู้รับผิดชอบที่มี * เป็นข้อเสนอ (เช่น ถอดตรวจ 1 ปี = PM)</t>
  </si>
  <si>
    <t xml:space="preserve">ข้อเสนอ · AM Step 5 แบ่งบทบาท</t>
  </si>
  <si>
    <t xml:space="preserve">Risk ในปฏิทิน</t>
  </si>
  <si>
    <t xml:space="preserve">สำเนาจาก FMEA ณ วันที่สร้าง · แก้ S/O/D แล้วต้องสร้างไฟล์ใหม่</t>
  </si>
  <si>
    <t xml:space="preserve">จาก AM Standard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</si>
</sst>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Tahoma"/>
      <family val="0"/>
      <charset val="1"/>
    </font>
    <font>
      <b val="true"/>
      <sz val="15"/>
      <color rgb="FFFFFFFF"/>
      <name val="WenQuanYi Zen Hei"/>
      <family val="2"/>
    </font>
    <font>
      <i val="true"/>
      <sz val="9"/>
      <color rgb="FF5A6775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b val="true"/>
      <sz val="10"/>
      <color rgb="FF1A1D21"/>
      <name val="Tahoma"/>
      <family val="0"/>
      <charset val="1"/>
    </font>
    <font>
      <sz val="10"/>
      <color rgb="FF1A1D21"/>
      <name val="Tahoma"/>
      <family val="0"/>
      <charset val="1"/>
    </font>
    <font>
      <b val="true"/>
      <sz val="10"/>
      <color rgb="FF1A1D21"/>
      <name val="WenQuanYi Zen Hei"/>
      <family val="2"/>
    </font>
    <font>
      <b val="true"/>
      <sz val="9"/>
      <color rgb="FFFFFFFF"/>
      <name val="Tahoma"/>
      <family val="0"/>
      <charset val="1"/>
    </font>
    <font>
      <b val="true"/>
      <sz val="11"/>
      <color rgb="FFFFFFFF"/>
      <name val="Tahoma"/>
      <family val="0"/>
      <charset val="1"/>
    </font>
    <font>
      <b val="true"/>
      <sz val="10"/>
      <color rgb="FF1F5FBF"/>
      <name val="Tahoma"/>
      <family val="0"/>
      <charset val="1"/>
    </font>
    <font>
      <b val="true"/>
      <sz val="9"/>
      <color rgb="FF1A1D21"/>
      <name val="Tahoma"/>
      <family val="0"/>
      <charset val="1"/>
    </font>
    <font>
      <sz val="9"/>
      <color rgb="FF1A1D21"/>
      <name val="Tahoma"/>
      <family val="0"/>
      <charset val="1"/>
    </font>
    <font>
      <sz val="9"/>
      <color rgb="FFB07A00"/>
      <name val="Tahoma"/>
      <family val="0"/>
      <charset val="1"/>
    </font>
    <font>
      <b val="true"/>
      <sz val="11"/>
      <color rgb="FF1F5FBF"/>
      <name val="Tahoma"/>
      <family val="0"/>
      <charset val="1"/>
    </font>
    <font>
      <i val="true"/>
      <sz val="9"/>
      <color rgb="FFB07A00"/>
      <name val="Tahoma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2A36"/>
        <bgColor rgb="FF1A1D21"/>
      </patternFill>
    </fill>
    <fill>
      <patternFill patternType="solid">
        <fgColor rgb="FF1F5FBF"/>
        <bgColor rgb="FF3366FF"/>
      </patternFill>
    </fill>
    <fill>
      <patternFill patternType="solid">
        <fgColor rgb="FFE3ECF9"/>
        <bgColor rgb="FFDCEBFA"/>
      </patternFill>
    </fill>
    <fill>
      <patternFill patternType="solid">
        <fgColor rgb="FFDCEBFA"/>
        <bgColor rgb="FFE3ECF9"/>
      </patternFill>
    </fill>
    <fill>
      <patternFill patternType="solid">
        <fgColor rgb="FFDFF2E1"/>
        <bgColor rgb="FFE3ECF9"/>
      </patternFill>
    </fill>
    <fill>
      <patternFill patternType="solid">
        <fgColor rgb="FFFBE0D0"/>
        <bgColor rgb="FFFCE7B2"/>
      </patternFill>
    </fill>
    <fill>
      <patternFill patternType="solid">
        <fgColor rgb="FFEDE3F7"/>
        <bgColor rgb="FFE3ECF9"/>
      </patternFill>
    </fill>
    <fill>
      <patternFill patternType="solid">
        <fgColor rgb="FFFFF1C2"/>
        <bgColor rgb="FFFCE7B2"/>
      </patternFill>
    </fill>
    <fill>
      <patternFill patternType="solid">
        <fgColor rgb="FFC8E6C9"/>
        <bgColor rgb="FFDFF2E1"/>
      </patternFill>
    </fill>
    <fill>
      <patternFill patternType="solid">
        <fgColor rgb="FFBBDEFB"/>
        <bgColor rgb="FFC8E6C9"/>
      </patternFill>
    </fill>
    <fill>
      <patternFill patternType="solid">
        <fgColor rgb="FFFFCC80"/>
        <bgColor rgb="FFF8C9CF"/>
      </patternFill>
    </fill>
    <fill>
      <patternFill patternType="solid">
        <fgColor rgb="FFEF9A9A"/>
        <bgColor rgb="FFFFCC80"/>
      </patternFill>
    </fill>
    <fill>
      <patternFill patternType="solid">
        <fgColor rgb="FFD1C4E9"/>
        <bgColor rgb="FFF8C9CF"/>
      </patternFill>
    </fill>
    <fill>
      <patternFill patternType="solid">
        <fgColor rgb="FFFFFF00"/>
        <bgColor rgb="FFFFF59D"/>
      </patternFill>
    </fill>
    <fill>
      <patternFill patternType="solid">
        <fgColor rgb="FFF2F2F2"/>
        <bgColor rgb="FFE3ECF9"/>
      </patternFill>
    </fill>
    <fill>
      <patternFill patternType="solid">
        <fgColor rgb="FFFCE7B2"/>
        <bgColor rgb="FFFFF1C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AA1AA"/>
      </left>
      <right style="thin">
        <color rgb="FF9AA1AA"/>
      </right>
      <top style="thin">
        <color rgb="FF9AA1AA"/>
      </top>
      <bottom style="thin">
        <color rgb="FF9AA1AA"/>
      </bottom>
      <diagonal/>
    </border>
    <border diagonalUp="false" diagonalDown="false">
      <left style="thin">
        <color rgb="FF9AA1AA"/>
      </left>
      <right/>
      <top style="thin">
        <color rgb="FF9AA1AA"/>
      </top>
      <bottom style="thin">
        <color rgb="FF9AA1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4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1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ont>
        <name val="Tahoma"/>
        <charset val="1"/>
        <family val="0"/>
        <b val="1"/>
        <color rgb="FFC32A3E"/>
      </font>
      <fill>
        <patternFill>
          <bgColor rgb="FFF8C9CF"/>
        </patternFill>
      </fill>
    </dxf>
    <dxf>
      <font>
        <name val="Tahoma"/>
        <charset val="1"/>
        <family val="0"/>
        <b val="1"/>
        <color rgb="FF8A5A00"/>
      </font>
      <fill>
        <patternFill>
          <bgColor rgb="FFFCE7B2"/>
        </patternFill>
      </fill>
    </dxf>
    <dxf>
      <font>
        <name val="Tahoma"/>
        <charset val="1"/>
        <family val="0"/>
        <b val="1"/>
        <color rgb="FF1F5FBF"/>
      </font>
      <fill>
        <patternFill>
          <bgColor rgb="FFE3ECF9"/>
        </patternFill>
      </fill>
    </dxf>
    <dxf>
      <font>
        <name val="Tahoma"/>
        <charset val="1"/>
        <family val="0"/>
        <b val="1"/>
        <color rgb="FF5A6775"/>
      </font>
      <fill>
        <patternFill>
          <bgColor rgb="FFF2F2F2"/>
        </patternFill>
      </fill>
    </dxf>
    <dxf>
      <font>
        <name val="Tahoma"/>
        <charset val="1"/>
        <family val="0"/>
        <b val="1"/>
        <color rgb="FF1A1D21"/>
        <sz val="9"/>
      </font>
      <fill>
        <patternFill>
          <bgColor rgb="FFC8E6C9"/>
        </patternFill>
      </fill>
    </dxf>
    <dxf>
      <font>
        <name val="Tahoma"/>
        <charset val="1"/>
        <family val="0"/>
        <b val="1"/>
        <color rgb="FF1A1D21"/>
        <sz val="9"/>
      </font>
      <fill>
        <patternFill>
          <bgColor rgb="FFBBDEFB"/>
        </patternFill>
      </fill>
    </dxf>
    <dxf>
      <font>
        <name val="Tahoma"/>
        <charset val="1"/>
        <family val="0"/>
        <b val="1"/>
        <color rgb="FF1A1D21"/>
        <sz val="9"/>
      </font>
      <fill>
        <patternFill>
          <bgColor rgb="FFFFF59D"/>
        </patternFill>
      </fill>
    </dxf>
    <dxf>
      <font>
        <name val="Tahoma"/>
        <charset val="1"/>
        <family val="0"/>
        <b val="1"/>
        <color rgb="FF1A1D21"/>
        <sz val="9"/>
      </font>
      <fill>
        <patternFill>
          <bgColor rgb="FFFFCC80"/>
        </patternFill>
      </fill>
    </dxf>
    <dxf>
      <font>
        <name val="Tahoma"/>
        <charset val="1"/>
        <family val="0"/>
        <b val="1"/>
        <color rgb="FF1A1D21"/>
        <sz val="9"/>
      </font>
      <fill>
        <patternFill>
          <bgColor rgb="FFEF9A9A"/>
        </patternFill>
      </fill>
    </dxf>
    <dxf>
      <font>
        <name val="Tahoma"/>
        <charset val="1"/>
        <family val="0"/>
        <b val="1"/>
        <color rgb="FF1A1D21"/>
        <sz val="9"/>
      </font>
      <fill>
        <patternFill>
          <bgColor rgb="FFD1C4E9"/>
        </patternFill>
      </fill>
    </dxf>
    <dxf>
      <fill>
        <patternFill>
          <bgColor rgb="FFF8C9CF"/>
        </patternFill>
      </fill>
    </dxf>
    <dxf>
      <fill>
        <patternFill>
          <bgColor rgb="FFC8E6C9"/>
        </patternFill>
      </fill>
    </dxf>
    <dxf>
      <fill>
        <patternFill>
          <bgColor rgb="FFFCE7B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7A00"/>
      <rgbColor rgb="FF800080"/>
      <rgbColor rgb="FF008080"/>
      <rgbColor rgb="FFC8E6C9"/>
      <rgbColor rgb="FF808080"/>
      <rgbColor rgb="FFEDE3F7"/>
      <rgbColor rgb="FFC32A3E"/>
      <rgbColor rgb="FFFFF1C2"/>
      <rgbColor rgb="FFDCEBFA"/>
      <rgbColor rgb="FF660066"/>
      <rgbColor rgb="FFF2F2F2"/>
      <rgbColor rgb="FF1F5FBF"/>
      <rgbColor rgb="FFD1C4E9"/>
      <rgbColor rgb="FF000080"/>
      <rgbColor rgb="FFFF00FF"/>
      <rgbColor rgb="FFFCE7B2"/>
      <rgbColor rgb="FF00FFFF"/>
      <rgbColor rgb="FF800080"/>
      <rgbColor rgb="FF800000"/>
      <rgbColor rgb="FF008080"/>
      <rgbColor rgb="FF0000FF"/>
      <rgbColor rgb="FF00CCFF"/>
      <rgbColor rgb="FFE3ECF9"/>
      <rgbColor rgb="FFDFF2E1"/>
      <rgbColor rgb="FFFFF59D"/>
      <rgbColor rgb="FFBBDEFB"/>
      <rgbColor rgb="FFEF9A9A"/>
      <rgbColor rgb="FFF8C9CF"/>
      <rgbColor rgb="FFFFCC80"/>
      <rgbColor rgb="FF3366FF"/>
      <rgbColor rgb="FF33CCCC"/>
      <rgbColor rgb="FF99CC00"/>
      <rgbColor rgb="FFFBE0D0"/>
      <rgbColor rgb="FFFF9900"/>
      <rgbColor rgb="FFFF6600"/>
      <rgbColor rgb="FF5A6775"/>
      <rgbColor rgb="FF9AA1AA"/>
      <rgbColor rgb="FF003366"/>
      <rgbColor rgb="FF339966"/>
      <rgbColor rgb="FF003300"/>
      <rgbColor rgb="FF1A1D21"/>
      <rgbColor rgb="FF8A5A00"/>
      <rgbColor rgb="FF993366"/>
      <rgbColor rgb="FF333399"/>
      <rgbColor rgb="FF1F2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2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1.9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36" hidden="false" customHeight="true" outlineLevel="0" collapsed="false">
      <c r="A4" s="3" t="s">
        <v>2</v>
      </c>
      <c r="B4" s="3" t="s">
        <v>3</v>
      </c>
      <c r="C4" s="3"/>
      <c r="D4" s="3"/>
      <c r="E4" s="3"/>
      <c r="F4" s="3"/>
    </row>
    <row r="5" customFormat="false" ht="36" hidden="false" customHeight="true" outlineLevel="0" collapsed="false">
      <c r="A5" s="4" t="s">
        <v>4</v>
      </c>
      <c r="B5" s="5" t="s">
        <v>5</v>
      </c>
      <c r="C5" s="5"/>
      <c r="D5" s="5"/>
      <c r="E5" s="5"/>
      <c r="F5" s="5"/>
    </row>
    <row r="6" customFormat="false" ht="36" hidden="false" customHeight="true" outlineLevel="0" collapsed="false">
      <c r="A6" s="4" t="s">
        <v>6</v>
      </c>
      <c r="B6" s="5" t="s">
        <v>7</v>
      </c>
      <c r="C6" s="5"/>
      <c r="D6" s="5"/>
      <c r="E6" s="5"/>
      <c r="F6" s="5"/>
    </row>
    <row r="7" customFormat="false" ht="36" hidden="false" customHeight="true" outlineLevel="0" collapsed="false">
      <c r="A7" s="4" t="s">
        <v>8</v>
      </c>
      <c r="B7" s="5" t="s">
        <v>9</v>
      </c>
      <c r="C7" s="5"/>
      <c r="D7" s="5"/>
      <c r="E7" s="5"/>
      <c r="F7" s="5"/>
    </row>
    <row r="8" customFormat="false" ht="36" hidden="false" customHeight="true" outlineLevel="0" collapsed="false">
      <c r="A8" s="4" t="s">
        <v>10</v>
      </c>
      <c r="B8" s="5" t="s">
        <v>11</v>
      </c>
      <c r="C8" s="5"/>
      <c r="D8" s="5"/>
      <c r="E8" s="5"/>
      <c r="F8" s="5"/>
    </row>
    <row r="9" customFormat="false" ht="9.75" hidden="false" customHeight="true" outlineLevel="0" collapsed="false">
      <c r="A9" s="6"/>
      <c r="B9" s="7"/>
      <c r="C9" s="7"/>
      <c r="D9" s="7"/>
      <c r="E9" s="7"/>
      <c r="F9" s="7"/>
    </row>
    <row r="10" customFormat="false" ht="36" hidden="false" customHeight="true" outlineLevel="0" collapsed="false">
      <c r="A10" s="4" t="s">
        <v>12</v>
      </c>
      <c r="B10" s="5" t="s">
        <v>13</v>
      </c>
      <c r="C10" s="5"/>
      <c r="D10" s="5"/>
      <c r="E10" s="5"/>
      <c r="F10" s="5"/>
    </row>
    <row r="11" customFormat="false" ht="61.5" hidden="false" customHeight="true" outlineLevel="0" collapsed="false">
      <c r="A11" s="4" t="s">
        <v>14</v>
      </c>
      <c r="B11" s="5" t="s">
        <v>15</v>
      </c>
      <c r="C11" s="5"/>
      <c r="D11" s="5"/>
      <c r="E11" s="5"/>
      <c r="F11" s="5"/>
    </row>
    <row r="12" customFormat="false" ht="36" hidden="false" customHeight="true" outlineLevel="0" collapsed="false">
      <c r="A12" s="4" t="s">
        <v>16</v>
      </c>
      <c r="B12" s="5" t="s">
        <v>17</v>
      </c>
      <c r="C12" s="5"/>
      <c r="D12" s="5"/>
      <c r="E12" s="5"/>
      <c r="F12" s="5"/>
    </row>
    <row r="13" customFormat="false" ht="36" hidden="false" customHeight="true" outlineLevel="0" collapsed="false">
      <c r="A13" s="4" t="s">
        <v>18</v>
      </c>
      <c r="B13" s="5" t="s">
        <v>19</v>
      </c>
      <c r="C13" s="5"/>
      <c r="D13" s="5"/>
      <c r="E13" s="5"/>
      <c r="F13" s="5"/>
    </row>
    <row r="14" customFormat="false" ht="36" hidden="false" customHeight="true" outlineLevel="0" collapsed="false">
      <c r="A14" s="4" t="s">
        <v>20</v>
      </c>
      <c r="B14" s="5" t="s">
        <v>21</v>
      </c>
      <c r="C14" s="5"/>
      <c r="D14" s="5"/>
      <c r="E14" s="5"/>
      <c r="F14" s="5"/>
    </row>
  </sheetData>
  <mergeCells count="13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</mergeCells>
  <printOptions headings="false" gridLines="false" gridLinesSet="true" horizontalCentered="true" verticalCentered="false"/>
  <pageMargins left="0.3" right="0.3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4" min="4" style="0" width="40"/>
    <col collapsed="false" customWidth="true" hidden="false" outlineLevel="0" max="5" min="5" style="0" width="6"/>
    <col collapsed="false" customWidth="true" hidden="false" outlineLevel="0" max="6" min="6" style="0" width="15"/>
    <col collapsed="false" customWidth="true" hidden="false" outlineLevel="0" max="7" min="7" style="0" width="7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21" min="10" style="0" width="5.5"/>
    <col collapsed="false" customWidth="true" hidden="false" outlineLevel="0" max="22" min="22" style="0" width="12"/>
  </cols>
  <sheetData>
    <row r="1" customFormat="false" ht="30" hidden="false" customHeight="true" outlineLevel="0" collapsed="false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1.9" hidden="false" customHeight="false" outlineLevel="0" collapsed="false">
      <c r="A2" s="2" t="s">
        <v>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customFormat="false" ht="36" hidden="false" customHeight="true" outlineLevel="0" collapsed="false">
      <c r="A4" s="8" t="s">
        <v>24</v>
      </c>
      <c r="B4" s="8" t="s">
        <v>25</v>
      </c>
      <c r="C4" s="8" t="s">
        <v>26</v>
      </c>
      <c r="D4" s="8" t="s">
        <v>27</v>
      </c>
      <c r="E4" s="8" t="s">
        <v>28</v>
      </c>
      <c r="F4" s="8" t="s">
        <v>29</v>
      </c>
      <c r="G4" s="8" t="s">
        <v>30</v>
      </c>
      <c r="H4" s="8" t="s">
        <v>18</v>
      </c>
      <c r="I4" s="8" t="s">
        <v>31</v>
      </c>
      <c r="J4" s="8" t="s">
        <v>32</v>
      </c>
      <c r="K4" s="8" t="s">
        <v>33</v>
      </c>
      <c r="L4" s="8" t="s">
        <v>34</v>
      </c>
      <c r="M4" s="8" t="s">
        <v>35</v>
      </c>
      <c r="N4" s="8" t="s">
        <v>36</v>
      </c>
      <c r="O4" s="8" t="s">
        <v>37</v>
      </c>
      <c r="P4" s="8" t="s">
        <v>38</v>
      </c>
      <c r="Q4" s="8" t="s">
        <v>39</v>
      </c>
      <c r="R4" s="8" t="s">
        <v>40</v>
      </c>
      <c r="S4" s="8" t="s">
        <v>41</v>
      </c>
      <c r="T4" s="8" t="s">
        <v>42</v>
      </c>
      <c r="U4" s="8" t="s">
        <v>43</v>
      </c>
      <c r="V4" s="8" t="s">
        <v>44</v>
      </c>
    </row>
    <row r="5" customFormat="false" ht="21.75" hidden="false" customHeight="true" outlineLevel="0" collapsed="false">
      <c r="A5" s="9" t="s">
        <v>45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customFormat="false" ht="21.75" hidden="false" customHeight="true" outlineLevel="0" collapsed="false">
      <c r="A6" s="10" t="s">
        <v>46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</row>
    <row r="7" customFormat="false" ht="30" hidden="false" customHeight="true" outlineLevel="0" collapsed="false">
      <c r="A7" s="11" t="s">
        <v>47</v>
      </c>
      <c r="B7" s="12" t="s">
        <v>48</v>
      </c>
      <c r="C7" s="12" t="s">
        <v>49</v>
      </c>
      <c r="D7" s="13" t="s">
        <v>50</v>
      </c>
      <c r="E7" s="14" t="s">
        <v>51</v>
      </c>
      <c r="F7" s="12" t="s">
        <v>52</v>
      </c>
      <c r="G7" s="12" t="n">
        <v>3</v>
      </c>
      <c r="H7" s="11" t="s">
        <v>53</v>
      </c>
      <c r="I7" s="12" t="s">
        <v>54</v>
      </c>
      <c r="J7" s="12" t="s">
        <v>55</v>
      </c>
      <c r="K7" s="12" t="s">
        <v>55</v>
      </c>
      <c r="L7" s="12" t="s">
        <v>55</v>
      </c>
      <c r="M7" s="12" t="s">
        <v>55</v>
      </c>
      <c r="N7" s="12" t="s">
        <v>55</v>
      </c>
      <c r="O7" s="12" t="s">
        <v>55</v>
      </c>
      <c r="P7" s="12" t="s">
        <v>55</v>
      </c>
      <c r="Q7" s="12" t="s">
        <v>55</v>
      </c>
      <c r="R7" s="12" t="s">
        <v>55</v>
      </c>
      <c r="S7" s="12" t="s">
        <v>55</v>
      </c>
      <c r="T7" s="12" t="s">
        <v>55</v>
      </c>
      <c r="U7" s="12" t="s">
        <v>55</v>
      </c>
      <c r="V7" s="12" t="s">
        <v>56</v>
      </c>
    </row>
    <row r="8" customFormat="false" ht="30" hidden="false" customHeight="true" outlineLevel="0" collapsed="false">
      <c r="A8" s="11" t="s">
        <v>57</v>
      </c>
      <c r="B8" s="12" t="s">
        <v>48</v>
      </c>
      <c r="C8" s="12" t="s">
        <v>58</v>
      </c>
      <c r="D8" s="13" t="s">
        <v>59</v>
      </c>
      <c r="E8" s="15" t="s">
        <v>60</v>
      </c>
      <c r="F8" s="12" t="s">
        <v>52</v>
      </c>
      <c r="G8" s="12" t="n">
        <v>0.5</v>
      </c>
      <c r="H8" s="11" t="s">
        <v>61</v>
      </c>
      <c r="I8" s="12" t="s">
        <v>54</v>
      </c>
      <c r="J8" s="12" t="s">
        <v>55</v>
      </c>
      <c r="K8" s="12" t="s">
        <v>55</v>
      </c>
      <c r="L8" s="12" t="s">
        <v>55</v>
      </c>
      <c r="M8" s="12" t="s">
        <v>55</v>
      </c>
      <c r="N8" s="12" t="s">
        <v>55</v>
      </c>
      <c r="O8" s="12" t="s">
        <v>55</v>
      </c>
      <c r="P8" s="12" t="s">
        <v>55</v>
      </c>
      <c r="Q8" s="12" t="s">
        <v>55</v>
      </c>
      <c r="R8" s="12" t="s">
        <v>55</v>
      </c>
      <c r="S8" s="12" t="s">
        <v>55</v>
      </c>
      <c r="T8" s="12" t="s">
        <v>55</v>
      </c>
      <c r="U8" s="12" t="s">
        <v>55</v>
      </c>
      <c r="V8" s="12" t="s">
        <v>62</v>
      </c>
    </row>
    <row r="9" customFormat="false" ht="30" hidden="false" customHeight="true" outlineLevel="0" collapsed="false">
      <c r="A9" s="11" t="s">
        <v>63</v>
      </c>
      <c r="B9" s="12" t="s">
        <v>48</v>
      </c>
      <c r="C9" s="12" t="s">
        <v>64</v>
      </c>
      <c r="D9" s="13" t="s">
        <v>65</v>
      </c>
      <c r="E9" s="15" t="s">
        <v>66</v>
      </c>
      <c r="F9" s="12" t="s">
        <v>52</v>
      </c>
      <c r="G9" s="12" t="n">
        <v>0.5</v>
      </c>
      <c r="H9" s="11" t="s">
        <v>61</v>
      </c>
      <c r="I9" s="12" t="s">
        <v>54</v>
      </c>
      <c r="J9" s="12" t="s">
        <v>55</v>
      </c>
      <c r="K9" s="12" t="s">
        <v>55</v>
      </c>
      <c r="L9" s="12" t="s">
        <v>55</v>
      </c>
      <c r="M9" s="12" t="s">
        <v>55</v>
      </c>
      <c r="N9" s="12" t="s">
        <v>55</v>
      </c>
      <c r="O9" s="12" t="s">
        <v>55</v>
      </c>
      <c r="P9" s="12" t="s">
        <v>55</v>
      </c>
      <c r="Q9" s="12" t="s">
        <v>55</v>
      </c>
      <c r="R9" s="12" t="s">
        <v>55</v>
      </c>
      <c r="S9" s="12" t="s">
        <v>55</v>
      </c>
      <c r="T9" s="12" t="s">
        <v>55</v>
      </c>
      <c r="U9" s="12" t="s">
        <v>55</v>
      </c>
      <c r="V9" s="12" t="s">
        <v>67</v>
      </c>
    </row>
    <row r="10" customFormat="false" ht="30" hidden="false" customHeight="true" outlineLevel="0" collapsed="false">
      <c r="A10" s="11" t="s">
        <v>68</v>
      </c>
      <c r="B10" s="12" t="s">
        <v>48</v>
      </c>
      <c r="C10" s="12" t="s">
        <v>69</v>
      </c>
      <c r="D10" s="13" t="s">
        <v>70</v>
      </c>
      <c r="E10" s="15" t="s">
        <v>66</v>
      </c>
      <c r="F10" s="12" t="s">
        <v>52</v>
      </c>
      <c r="G10" s="12" t="n">
        <v>0.5</v>
      </c>
      <c r="H10" s="11" t="s">
        <v>53</v>
      </c>
      <c r="I10" s="12" t="s">
        <v>54</v>
      </c>
      <c r="J10" s="12" t="s">
        <v>55</v>
      </c>
      <c r="K10" s="12" t="s">
        <v>55</v>
      </c>
      <c r="L10" s="12" t="s">
        <v>55</v>
      </c>
      <c r="M10" s="12" t="s">
        <v>55</v>
      </c>
      <c r="N10" s="12" t="s">
        <v>55</v>
      </c>
      <c r="O10" s="12" t="s">
        <v>55</v>
      </c>
      <c r="P10" s="12" t="s">
        <v>55</v>
      </c>
      <c r="Q10" s="12" t="s">
        <v>55</v>
      </c>
      <c r="R10" s="12" t="s">
        <v>55</v>
      </c>
      <c r="S10" s="12" t="s">
        <v>55</v>
      </c>
      <c r="T10" s="12" t="s">
        <v>55</v>
      </c>
      <c r="U10" s="12" t="s">
        <v>55</v>
      </c>
      <c r="V10" s="12" t="s">
        <v>71</v>
      </c>
    </row>
    <row r="11" customFormat="false" ht="30" hidden="false" customHeight="true" outlineLevel="0" collapsed="false">
      <c r="A11" s="11" t="s">
        <v>72</v>
      </c>
      <c r="B11" s="12" t="s">
        <v>48</v>
      </c>
      <c r="C11" s="12" t="s">
        <v>73</v>
      </c>
      <c r="D11" s="13" t="s">
        <v>74</v>
      </c>
      <c r="E11" s="14" t="s">
        <v>51</v>
      </c>
      <c r="F11" s="16" t="s">
        <v>75</v>
      </c>
      <c r="G11" s="12" t="n">
        <v>2</v>
      </c>
      <c r="H11" s="11" t="s">
        <v>53</v>
      </c>
      <c r="I11" s="12" t="s">
        <v>54</v>
      </c>
      <c r="J11" s="12" t="s">
        <v>76</v>
      </c>
      <c r="K11" s="12" t="s">
        <v>76</v>
      </c>
      <c r="L11" s="12" t="s">
        <v>76</v>
      </c>
      <c r="M11" s="12" t="s">
        <v>76</v>
      </c>
      <c r="N11" s="12" t="s">
        <v>76</v>
      </c>
      <c r="O11" s="12" t="s">
        <v>76</v>
      </c>
      <c r="P11" s="12" t="s">
        <v>76</v>
      </c>
      <c r="Q11" s="12" t="s">
        <v>76</v>
      </c>
      <c r="R11" s="12" t="s">
        <v>76</v>
      </c>
      <c r="S11" s="12" t="s">
        <v>76</v>
      </c>
      <c r="T11" s="12" t="s">
        <v>76</v>
      </c>
      <c r="U11" s="12" t="s">
        <v>76</v>
      </c>
      <c r="V11" s="12" t="s">
        <v>77</v>
      </c>
    </row>
    <row r="12" customFormat="false" ht="30" hidden="false" customHeight="true" outlineLevel="0" collapsed="false">
      <c r="A12" s="11" t="s">
        <v>78</v>
      </c>
      <c r="B12" s="12" t="s">
        <v>48</v>
      </c>
      <c r="C12" s="12" t="s">
        <v>79</v>
      </c>
      <c r="D12" s="13" t="s">
        <v>80</v>
      </c>
      <c r="E12" s="15" t="s">
        <v>66</v>
      </c>
      <c r="F12" s="12" t="s">
        <v>81</v>
      </c>
      <c r="G12" s="12" t="n">
        <v>0.5</v>
      </c>
      <c r="H12" s="11" t="s">
        <v>61</v>
      </c>
      <c r="I12" s="12" t="s">
        <v>54</v>
      </c>
      <c r="J12" s="12" t="s">
        <v>55</v>
      </c>
      <c r="K12" s="12" t="s">
        <v>55</v>
      </c>
      <c r="L12" s="12" t="s">
        <v>55</v>
      </c>
      <c r="M12" s="12" t="s">
        <v>55</v>
      </c>
      <c r="N12" s="12" t="s">
        <v>55</v>
      </c>
      <c r="O12" s="12" t="s">
        <v>55</v>
      </c>
      <c r="P12" s="12" t="s">
        <v>55</v>
      </c>
      <c r="Q12" s="12" t="s">
        <v>55</v>
      </c>
      <c r="R12" s="12" t="s">
        <v>55</v>
      </c>
      <c r="S12" s="12" t="s">
        <v>55</v>
      </c>
      <c r="T12" s="12" t="s">
        <v>55</v>
      </c>
      <c r="U12" s="12" t="s">
        <v>55</v>
      </c>
      <c r="V12" s="12" t="s">
        <v>82</v>
      </c>
    </row>
    <row r="13" customFormat="false" ht="30" hidden="false" customHeight="true" outlineLevel="0" collapsed="false">
      <c r="A13" s="11" t="s">
        <v>83</v>
      </c>
      <c r="B13" s="12" t="s">
        <v>48</v>
      </c>
      <c r="C13" s="12" t="s">
        <v>79</v>
      </c>
      <c r="D13" s="13" t="s">
        <v>84</v>
      </c>
      <c r="E13" s="15" t="s">
        <v>66</v>
      </c>
      <c r="F13" s="12" t="s">
        <v>85</v>
      </c>
      <c r="G13" s="12" t="n">
        <v>2</v>
      </c>
      <c r="H13" s="11" t="s">
        <v>61</v>
      </c>
      <c r="I13" s="16" t="s">
        <v>86</v>
      </c>
      <c r="J13" s="12"/>
      <c r="K13" s="12"/>
      <c r="L13" s="12"/>
      <c r="M13" s="12"/>
      <c r="N13" s="12"/>
      <c r="O13" s="12" t="s">
        <v>87</v>
      </c>
      <c r="P13" s="12"/>
      <c r="Q13" s="12"/>
      <c r="R13" s="12"/>
      <c r="S13" s="12"/>
      <c r="T13" s="12"/>
      <c r="U13" s="12" t="s">
        <v>87</v>
      </c>
      <c r="V13" s="12" t="s">
        <v>88</v>
      </c>
    </row>
    <row r="14" customFormat="false" ht="21.75" hidden="false" customHeight="true" outlineLevel="0" collapsed="false">
      <c r="A14" s="10" t="s">
        <v>89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customFormat="false" ht="30" hidden="false" customHeight="true" outlineLevel="0" collapsed="false">
      <c r="A15" s="11" t="s">
        <v>90</v>
      </c>
      <c r="B15" s="12" t="s">
        <v>48</v>
      </c>
      <c r="C15" s="12" t="s">
        <v>91</v>
      </c>
      <c r="D15" s="13" t="s">
        <v>92</v>
      </c>
      <c r="E15" s="15" t="s">
        <v>66</v>
      </c>
      <c r="F15" s="12" t="s">
        <v>81</v>
      </c>
      <c r="G15" s="12" t="n">
        <v>1</v>
      </c>
      <c r="H15" s="11" t="s">
        <v>61</v>
      </c>
      <c r="I15" s="12" t="s">
        <v>54</v>
      </c>
      <c r="J15" s="12" t="s">
        <v>55</v>
      </c>
      <c r="K15" s="12" t="s">
        <v>55</v>
      </c>
      <c r="L15" s="12" t="s">
        <v>55</v>
      </c>
      <c r="M15" s="12" t="s">
        <v>55</v>
      </c>
      <c r="N15" s="12" t="s">
        <v>55</v>
      </c>
      <c r="O15" s="12" t="s">
        <v>55</v>
      </c>
      <c r="P15" s="12" t="s">
        <v>55</v>
      </c>
      <c r="Q15" s="12" t="s">
        <v>55</v>
      </c>
      <c r="R15" s="12" t="s">
        <v>55</v>
      </c>
      <c r="S15" s="12" t="s">
        <v>55</v>
      </c>
      <c r="T15" s="12" t="s">
        <v>55</v>
      </c>
      <c r="U15" s="12" t="s">
        <v>55</v>
      </c>
      <c r="V15" s="12" t="s">
        <v>93</v>
      </c>
    </row>
    <row r="16" customFormat="false" ht="30" hidden="false" customHeight="true" outlineLevel="0" collapsed="false">
      <c r="A16" s="11" t="s">
        <v>94</v>
      </c>
      <c r="B16" s="12" t="s">
        <v>48</v>
      </c>
      <c r="C16" s="12" t="s">
        <v>95</v>
      </c>
      <c r="D16" s="13" t="s">
        <v>96</v>
      </c>
      <c r="E16" s="15" t="s">
        <v>66</v>
      </c>
      <c r="F16" s="16" t="s">
        <v>75</v>
      </c>
      <c r="G16" s="12" t="n">
        <v>1</v>
      </c>
      <c r="H16" s="11" t="s">
        <v>61</v>
      </c>
      <c r="I16" s="12" t="s">
        <v>54</v>
      </c>
      <c r="J16" s="12" t="s">
        <v>76</v>
      </c>
      <c r="K16" s="12" t="s">
        <v>76</v>
      </c>
      <c r="L16" s="12" t="s">
        <v>76</v>
      </c>
      <c r="M16" s="12" t="s">
        <v>76</v>
      </c>
      <c r="N16" s="12" t="s">
        <v>76</v>
      </c>
      <c r="O16" s="12" t="s">
        <v>76</v>
      </c>
      <c r="P16" s="12" t="s">
        <v>76</v>
      </c>
      <c r="Q16" s="12" t="s">
        <v>76</v>
      </c>
      <c r="R16" s="12" t="s">
        <v>76</v>
      </c>
      <c r="S16" s="12" t="s">
        <v>76</v>
      </c>
      <c r="T16" s="12" t="s">
        <v>76</v>
      </c>
      <c r="U16" s="12" t="s">
        <v>76</v>
      </c>
      <c r="V16" s="12" t="s">
        <v>97</v>
      </c>
    </row>
    <row r="17" customFormat="false" ht="30" hidden="false" customHeight="true" outlineLevel="0" collapsed="false">
      <c r="A17" s="11" t="s">
        <v>98</v>
      </c>
      <c r="B17" s="12" t="s">
        <v>48</v>
      </c>
      <c r="C17" s="12" t="s">
        <v>99</v>
      </c>
      <c r="D17" s="13" t="s">
        <v>100</v>
      </c>
      <c r="E17" s="15" t="s">
        <v>66</v>
      </c>
      <c r="F17" s="12" t="s">
        <v>101</v>
      </c>
      <c r="G17" s="12" t="n">
        <v>1</v>
      </c>
      <c r="H17" s="11" t="s">
        <v>53</v>
      </c>
      <c r="I17" s="12" t="s">
        <v>54</v>
      </c>
      <c r="J17" s="12" t="s">
        <v>55</v>
      </c>
      <c r="K17" s="12" t="s">
        <v>55</v>
      </c>
      <c r="L17" s="12" t="s">
        <v>55</v>
      </c>
      <c r="M17" s="12" t="s">
        <v>55</v>
      </c>
      <c r="N17" s="12" t="s">
        <v>55</v>
      </c>
      <c r="O17" s="12" t="s">
        <v>55</v>
      </c>
      <c r="P17" s="12" t="s">
        <v>55</v>
      </c>
      <c r="Q17" s="12" t="s">
        <v>55</v>
      </c>
      <c r="R17" s="12" t="s">
        <v>55</v>
      </c>
      <c r="S17" s="12" t="s">
        <v>55</v>
      </c>
      <c r="T17" s="12" t="s">
        <v>55</v>
      </c>
      <c r="U17" s="12" t="s">
        <v>55</v>
      </c>
      <c r="V17" s="12" t="s">
        <v>102</v>
      </c>
    </row>
    <row r="18" customFormat="false" ht="30" hidden="false" customHeight="true" outlineLevel="0" collapsed="false">
      <c r="A18" s="11" t="s">
        <v>103</v>
      </c>
      <c r="B18" s="12" t="s">
        <v>48</v>
      </c>
      <c r="C18" s="12" t="s">
        <v>104</v>
      </c>
      <c r="D18" s="13" t="s">
        <v>105</v>
      </c>
      <c r="E18" s="17" t="s">
        <v>106</v>
      </c>
      <c r="F18" s="16" t="s">
        <v>107</v>
      </c>
      <c r="G18" s="12" t="n">
        <v>20</v>
      </c>
      <c r="H18" s="11" t="s">
        <v>61</v>
      </c>
      <c r="I18" s="12" t="s">
        <v>108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 t="s">
        <v>109</v>
      </c>
      <c r="V18" s="12" t="s">
        <v>110</v>
      </c>
    </row>
    <row r="19" customFormat="false" ht="30" hidden="false" customHeight="true" outlineLevel="0" collapsed="false">
      <c r="A19" s="11" t="s">
        <v>111</v>
      </c>
      <c r="B19" s="12" t="s">
        <v>48</v>
      </c>
      <c r="C19" s="12" t="s">
        <v>112</v>
      </c>
      <c r="D19" s="13" t="s">
        <v>113</v>
      </c>
      <c r="E19" s="18" t="s">
        <v>114</v>
      </c>
      <c r="F19" s="16" t="s">
        <v>115</v>
      </c>
      <c r="G19" s="12" t="n">
        <v>5</v>
      </c>
      <c r="H19" s="11" t="s">
        <v>53</v>
      </c>
      <c r="I19" s="12" t="s">
        <v>108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 t="s">
        <v>110</v>
      </c>
    </row>
    <row r="20" customFormat="false" ht="21.75" hidden="false" customHeight="true" outlineLevel="0" collapsed="false">
      <c r="A20" s="10" t="s">
        <v>116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 customFormat="false" ht="30" hidden="false" customHeight="true" outlineLevel="0" collapsed="false">
      <c r="A21" s="11" t="s">
        <v>117</v>
      </c>
      <c r="B21" s="12" t="s">
        <v>48</v>
      </c>
      <c r="C21" s="12" t="s">
        <v>118</v>
      </c>
      <c r="D21" s="13" t="s">
        <v>119</v>
      </c>
      <c r="E21" s="15" t="s">
        <v>120</v>
      </c>
      <c r="F21" s="12" t="s">
        <v>101</v>
      </c>
      <c r="G21" s="12" t="n">
        <v>0.5</v>
      </c>
      <c r="H21" s="11" t="s">
        <v>61</v>
      </c>
      <c r="I21" s="12" t="s">
        <v>54</v>
      </c>
      <c r="J21" s="12" t="s">
        <v>55</v>
      </c>
      <c r="K21" s="12" t="s">
        <v>55</v>
      </c>
      <c r="L21" s="12" t="s">
        <v>55</v>
      </c>
      <c r="M21" s="12" t="s">
        <v>55</v>
      </c>
      <c r="N21" s="12" t="s">
        <v>55</v>
      </c>
      <c r="O21" s="12" t="s">
        <v>55</v>
      </c>
      <c r="P21" s="12" t="s">
        <v>55</v>
      </c>
      <c r="Q21" s="12" t="s">
        <v>55</v>
      </c>
      <c r="R21" s="12" t="s">
        <v>55</v>
      </c>
      <c r="S21" s="12" t="s">
        <v>55</v>
      </c>
      <c r="T21" s="12" t="s">
        <v>55</v>
      </c>
      <c r="U21" s="12" t="s">
        <v>55</v>
      </c>
      <c r="V21" s="12" t="s">
        <v>121</v>
      </c>
    </row>
    <row r="22" customFormat="false" ht="30" hidden="false" customHeight="true" outlineLevel="0" collapsed="false">
      <c r="A22" s="11" t="s">
        <v>122</v>
      </c>
      <c r="B22" s="12" t="s">
        <v>48</v>
      </c>
      <c r="C22" s="12" t="s">
        <v>123</v>
      </c>
      <c r="D22" s="13" t="s">
        <v>124</v>
      </c>
      <c r="E22" s="15" t="s">
        <v>66</v>
      </c>
      <c r="F22" s="16" t="s">
        <v>75</v>
      </c>
      <c r="G22" s="12" t="n">
        <v>0.5</v>
      </c>
      <c r="H22" s="11" t="s">
        <v>53</v>
      </c>
      <c r="I22" s="12" t="s">
        <v>54</v>
      </c>
      <c r="J22" s="12" t="s">
        <v>76</v>
      </c>
      <c r="K22" s="12" t="s">
        <v>76</v>
      </c>
      <c r="L22" s="12" t="s">
        <v>76</v>
      </c>
      <c r="M22" s="12" t="s">
        <v>76</v>
      </c>
      <c r="N22" s="12" t="s">
        <v>76</v>
      </c>
      <c r="O22" s="12" t="s">
        <v>76</v>
      </c>
      <c r="P22" s="12" t="s">
        <v>76</v>
      </c>
      <c r="Q22" s="12" t="s">
        <v>76</v>
      </c>
      <c r="R22" s="12" t="s">
        <v>76</v>
      </c>
      <c r="S22" s="12" t="s">
        <v>76</v>
      </c>
      <c r="T22" s="12" t="s">
        <v>76</v>
      </c>
      <c r="U22" s="12" t="s">
        <v>76</v>
      </c>
      <c r="V22" s="12" t="s">
        <v>125</v>
      </c>
    </row>
    <row r="23" customFormat="false" ht="30" hidden="false" customHeight="true" outlineLevel="0" collapsed="false">
      <c r="A23" s="11" t="s">
        <v>126</v>
      </c>
      <c r="B23" s="12" t="s">
        <v>48</v>
      </c>
      <c r="C23" s="12" t="s">
        <v>123</v>
      </c>
      <c r="D23" s="13" t="s">
        <v>127</v>
      </c>
      <c r="E23" s="15" t="s">
        <v>128</v>
      </c>
      <c r="F23" s="16" t="s">
        <v>129</v>
      </c>
      <c r="G23" s="12" t="n">
        <v>5</v>
      </c>
      <c r="H23" s="11" t="s">
        <v>53</v>
      </c>
      <c r="I23" s="16" t="s">
        <v>130</v>
      </c>
      <c r="J23" s="12"/>
      <c r="K23" s="12"/>
      <c r="L23" s="12"/>
      <c r="M23" s="12"/>
      <c r="N23" s="12"/>
      <c r="O23" s="12" t="s">
        <v>87</v>
      </c>
      <c r="P23" s="12"/>
      <c r="Q23" s="12"/>
      <c r="R23" s="12"/>
      <c r="S23" s="12"/>
      <c r="T23" s="12"/>
      <c r="U23" s="12" t="s">
        <v>87</v>
      </c>
      <c r="V23" s="12" t="s">
        <v>131</v>
      </c>
    </row>
    <row r="24" customFormat="false" ht="30" hidden="false" customHeight="true" outlineLevel="0" collapsed="false">
      <c r="A24" s="11" t="s">
        <v>132</v>
      </c>
      <c r="B24" s="12" t="s">
        <v>48</v>
      </c>
      <c r="C24" s="12" t="s">
        <v>133</v>
      </c>
      <c r="D24" s="13" t="s">
        <v>134</v>
      </c>
      <c r="E24" s="15" t="s">
        <v>66</v>
      </c>
      <c r="F24" s="12" t="s">
        <v>52</v>
      </c>
      <c r="G24" s="12" t="n">
        <v>0.5</v>
      </c>
      <c r="H24" s="11" t="s">
        <v>53</v>
      </c>
      <c r="I24" s="12" t="s">
        <v>54</v>
      </c>
      <c r="J24" s="12" t="s">
        <v>55</v>
      </c>
      <c r="K24" s="12" t="s">
        <v>55</v>
      </c>
      <c r="L24" s="12" t="s">
        <v>55</v>
      </c>
      <c r="M24" s="12" t="s">
        <v>55</v>
      </c>
      <c r="N24" s="12" t="s">
        <v>55</v>
      </c>
      <c r="O24" s="12" t="s">
        <v>55</v>
      </c>
      <c r="P24" s="12" t="s">
        <v>55</v>
      </c>
      <c r="Q24" s="12" t="s">
        <v>55</v>
      </c>
      <c r="R24" s="12" t="s">
        <v>55</v>
      </c>
      <c r="S24" s="12" t="s">
        <v>55</v>
      </c>
      <c r="T24" s="12" t="s">
        <v>55</v>
      </c>
      <c r="U24" s="12" t="s">
        <v>55</v>
      </c>
      <c r="V24" s="12" t="s">
        <v>135</v>
      </c>
    </row>
    <row r="25" customFormat="false" ht="30" hidden="false" customHeight="true" outlineLevel="0" collapsed="false">
      <c r="A25" s="11" t="s">
        <v>136</v>
      </c>
      <c r="B25" s="12" t="s">
        <v>48</v>
      </c>
      <c r="C25" s="12" t="s">
        <v>133</v>
      </c>
      <c r="D25" s="13" t="s">
        <v>137</v>
      </c>
      <c r="E25" s="15" t="s">
        <v>66</v>
      </c>
      <c r="F25" s="16" t="s">
        <v>75</v>
      </c>
      <c r="G25" s="12" t="n">
        <v>0.5</v>
      </c>
      <c r="H25" s="11" t="s">
        <v>53</v>
      </c>
      <c r="I25" s="12" t="s">
        <v>54</v>
      </c>
      <c r="J25" s="12" t="s">
        <v>76</v>
      </c>
      <c r="K25" s="12" t="s">
        <v>76</v>
      </c>
      <c r="L25" s="12" t="s">
        <v>76</v>
      </c>
      <c r="M25" s="12" t="s">
        <v>76</v>
      </c>
      <c r="N25" s="12" t="s">
        <v>76</v>
      </c>
      <c r="O25" s="12" t="s">
        <v>76</v>
      </c>
      <c r="P25" s="12" t="s">
        <v>76</v>
      </c>
      <c r="Q25" s="12" t="s">
        <v>76</v>
      </c>
      <c r="R25" s="12" t="s">
        <v>76</v>
      </c>
      <c r="S25" s="12" t="s">
        <v>76</v>
      </c>
      <c r="T25" s="12" t="s">
        <v>76</v>
      </c>
      <c r="U25" s="12" t="s">
        <v>76</v>
      </c>
      <c r="V25" s="12" t="s">
        <v>138</v>
      </c>
    </row>
    <row r="26" customFormat="false" ht="30" hidden="false" customHeight="true" outlineLevel="0" collapsed="false">
      <c r="A26" s="11" t="s">
        <v>139</v>
      </c>
      <c r="B26" s="12" t="s">
        <v>48</v>
      </c>
      <c r="C26" s="12" t="s">
        <v>140</v>
      </c>
      <c r="D26" s="13" t="s">
        <v>141</v>
      </c>
      <c r="E26" s="15" t="s">
        <v>66</v>
      </c>
      <c r="F26" s="12" t="s">
        <v>101</v>
      </c>
      <c r="G26" s="12" t="n">
        <v>0.5</v>
      </c>
      <c r="H26" s="11" t="s">
        <v>61</v>
      </c>
      <c r="I26" s="12" t="s">
        <v>54</v>
      </c>
      <c r="J26" s="12" t="s">
        <v>55</v>
      </c>
      <c r="K26" s="12" t="s">
        <v>55</v>
      </c>
      <c r="L26" s="12" t="s">
        <v>55</v>
      </c>
      <c r="M26" s="12" t="s">
        <v>55</v>
      </c>
      <c r="N26" s="12" t="s">
        <v>55</v>
      </c>
      <c r="O26" s="12" t="s">
        <v>55</v>
      </c>
      <c r="P26" s="12" t="s">
        <v>55</v>
      </c>
      <c r="Q26" s="12" t="s">
        <v>55</v>
      </c>
      <c r="R26" s="12" t="s">
        <v>55</v>
      </c>
      <c r="S26" s="12" t="s">
        <v>55</v>
      </c>
      <c r="T26" s="12" t="s">
        <v>55</v>
      </c>
      <c r="U26" s="12" t="s">
        <v>55</v>
      </c>
      <c r="V26" s="12" t="s">
        <v>142</v>
      </c>
    </row>
    <row r="27" customFormat="false" ht="30" hidden="false" customHeight="true" outlineLevel="0" collapsed="false">
      <c r="A27" s="11" t="s">
        <v>143</v>
      </c>
      <c r="B27" s="12" t="s">
        <v>48</v>
      </c>
      <c r="C27" s="12" t="s">
        <v>144</v>
      </c>
      <c r="D27" s="13" t="s">
        <v>145</v>
      </c>
      <c r="E27" s="15" t="s">
        <v>66</v>
      </c>
      <c r="F27" s="12" t="s">
        <v>101</v>
      </c>
      <c r="G27" s="12" t="n">
        <v>0.5</v>
      </c>
      <c r="H27" s="11" t="s">
        <v>61</v>
      </c>
      <c r="I27" s="12" t="s">
        <v>54</v>
      </c>
      <c r="J27" s="12" t="s">
        <v>55</v>
      </c>
      <c r="K27" s="12" t="s">
        <v>55</v>
      </c>
      <c r="L27" s="12" t="s">
        <v>55</v>
      </c>
      <c r="M27" s="12" t="s">
        <v>55</v>
      </c>
      <c r="N27" s="12" t="s">
        <v>55</v>
      </c>
      <c r="O27" s="12" t="s">
        <v>55</v>
      </c>
      <c r="P27" s="12" t="s">
        <v>55</v>
      </c>
      <c r="Q27" s="12" t="s">
        <v>55</v>
      </c>
      <c r="R27" s="12" t="s">
        <v>55</v>
      </c>
      <c r="S27" s="12" t="s">
        <v>55</v>
      </c>
      <c r="T27" s="12" t="s">
        <v>55</v>
      </c>
      <c r="U27" s="12" t="s">
        <v>55</v>
      </c>
      <c r="V27" s="12" t="s">
        <v>146</v>
      </c>
    </row>
    <row r="28" customFormat="false" ht="30" hidden="false" customHeight="true" outlineLevel="0" collapsed="false">
      <c r="A28" s="11" t="s">
        <v>147</v>
      </c>
      <c r="B28" s="12" t="s">
        <v>48</v>
      </c>
      <c r="C28" s="12" t="s">
        <v>148</v>
      </c>
      <c r="D28" s="13" t="s">
        <v>149</v>
      </c>
      <c r="E28" s="14" t="s">
        <v>150</v>
      </c>
      <c r="F28" s="16" t="s">
        <v>75</v>
      </c>
      <c r="G28" s="12" t="n">
        <v>2</v>
      </c>
      <c r="H28" s="11" t="s">
        <v>61</v>
      </c>
      <c r="I28" s="12" t="s">
        <v>54</v>
      </c>
      <c r="J28" s="12" t="s">
        <v>76</v>
      </c>
      <c r="K28" s="12" t="s">
        <v>76</v>
      </c>
      <c r="L28" s="12" t="s">
        <v>76</v>
      </c>
      <c r="M28" s="12" t="s">
        <v>76</v>
      </c>
      <c r="N28" s="12" t="s">
        <v>76</v>
      </c>
      <c r="O28" s="12" t="s">
        <v>76</v>
      </c>
      <c r="P28" s="12" t="s">
        <v>76</v>
      </c>
      <c r="Q28" s="12" t="s">
        <v>76</v>
      </c>
      <c r="R28" s="12" t="s">
        <v>76</v>
      </c>
      <c r="S28" s="12" t="s">
        <v>76</v>
      </c>
      <c r="T28" s="12" t="s">
        <v>76</v>
      </c>
      <c r="U28" s="12" t="s">
        <v>76</v>
      </c>
      <c r="V28" s="12" t="s">
        <v>151</v>
      </c>
    </row>
    <row r="29" customFormat="false" ht="30" hidden="false" customHeight="true" outlineLevel="0" collapsed="false">
      <c r="A29" s="11" t="s">
        <v>152</v>
      </c>
      <c r="B29" s="12" t="s">
        <v>48</v>
      </c>
      <c r="C29" s="12" t="s">
        <v>153</v>
      </c>
      <c r="D29" s="13" t="s">
        <v>154</v>
      </c>
      <c r="E29" s="15" t="s">
        <v>66</v>
      </c>
      <c r="F29" s="12" t="s">
        <v>101</v>
      </c>
      <c r="G29" s="12" t="n">
        <v>1</v>
      </c>
      <c r="H29" s="11" t="s">
        <v>53</v>
      </c>
      <c r="I29" s="12" t="s">
        <v>54</v>
      </c>
      <c r="J29" s="12" t="s">
        <v>55</v>
      </c>
      <c r="K29" s="12" t="s">
        <v>55</v>
      </c>
      <c r="L29" s="12" t="s">
        <v>55</v>
      </c>
      <c r="M29" s="12" t="s">
        <v>55</v>
      </c>
      <c r="N29" s="12" t="s">
        <v>55</v>
      </c>
      <c r="O29" s="12" t="s">
        <v>55</v>
      </c>
      <c r="P29" s="12" t="s">
        <v>55</v>
      </c>
      <c r="Q29" s="12" t="s">
        <v>55</v>
      </c>
      <c r="R29" s="12" t="s">
        <v>55</v>
      </c>
      <c r="S29" s="12" t="s">
        <v>55</v>
      </c>
      <c r="T29" s="12" t="s">
        <v>55</v>
      </c>
      <c r="U29" s="12" t="s">
        <v>55</v>
      </c>
      <c r="V29" s="12" t="s">
        <v>155</v>
      </c>
    </row>
    <row r="30" customFormat="false" ht="21.75" hidden="false" customHeight="true" outlineLevel="0" collapsed="false">
      <c r="A30" s="10" t="s">
        <v>156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</row>
    <row r="31" customFormat="false" ht="30" hidden="false" customHeight="true" outlineLevel="0" collapsed="false">
      <c r="A31" s="11" t="s">
        <v>157</v>
      </c>
      <c r="B31" s="12" t="s">
        <v>48</v>
      </c>
      <c r="C31" s="12" t="s">
        <v>158</v>
      </c>
      <c r="D31" s="13" t="s">
        <v>159</v>
      </c>
      <c r="E31" s="14" t="s">
        <v>51</v>
      </c>
      <c r="F31" s="12" t="s">
        <v>52</v>
      </c>
      <c r="G31" s="12" t="n">
        <v>1</v>
      </c>
      <c r="H31" s="11" t="s">
        <v>61</v>
      </c>
      <c r="I31" s="12" t="s">
        <v>54</v>
      </c>
      <c r="J31" s="12" t="s">
        <v>55</v>
      </c>
      <c r="K31" s="12" t="s">
        <v>55</v>
      </c>
      <c r="L31" s="12" t="s">
        <v>55</v>
      </c>
      <c r="M31" s="12" t="s">
        <v>55</v>
      </c>
      <c r="N31" s="12" t="s">
        <v>55</v>
      </c>
      <c r="O31" s="12" t="s">
        <v>55</v>
      </c>
      <c r="P31" s="12" t="s">
        <v>55</v>
      </c>
      <c r="Q31" s="12" t="s">
        <v>55</v>
      </c>
      <c r="R31" s="12" t="s">
        <v>55</v>
      </c>
      <c r="S31" s="12" t="s">
        <v>55</v>
      </c>
      <c r="T31" s="12" t="s">
        <v>55</v>
      </c>
      <c r="U31" s="12" t="s">
        <v>55</v>
      </c>
      <c r="V31" s="12" t="s">
        <v>160</v>
      </c>
    </row>
    <row r="32" customFormat="false" ht="30" hidden="false" customHeight="true" outlineLevel="0" collapsed="false">
      <c r="A32" s="11" t="s">
        <v>161</v>
      </c>
      <c r="B32" s="12" t="s">
        <v>48</v>
      </c>
      <c r="C32" s="12" t="s">
        <v>162</v>
      </c>
      <c r="D32" s="13" t="s">
        <v>163</v>
      </c>
      <c r="E32" s="15" t="s">
        <v>66</v>
      </c>
      <c r="F32" s="16" t="s">
        <v>75</v>
      </c>
      <c r="G32" s="12" t="n">
        <v>2</v>
      </c>
      <c r="H32" s="11" t="s">
        <v>61</v>
      </c>
      <c r="I32" s="12" t="s">
        <v>54</v>
      </c>
      <c r="J32" s="12" t="s">
        <v>76</v>
      </c>
      <c r="K32" s="12" t="s">
        <v>76</v>
      </c>
      <c r="L32" s="12" t="s">
        <v>76</v>
      </c>
      <c r="M32" s="12" t="s">
        <v>76</v>
      </c>
      <c r="N32" s="12" t="s">
        <v>76</v>
      </c>
      <c r="O32" s="12" t="s">
        <v>76</v>
      </c>
      <c r="P32" s="12" t="s">
        <v>76</v>
      </c>
      <c r="Q32" s="12" t="s">
        <v>76</v>
      </c>
      <c r="R32" s="12" t="s">
        <v>76</v>
      </c>
      <c r="S32" s="12" t="s">
        <v>76</v>
      </c>
      <c r="T32" s="12" t="s">
        <v>76</v>
      </c>
      <c r="U32" s="12" t="s">
        <v>76</v>
      </c>
      <c r="V32" s="12" t="s">
        <v>164</v>
      </c>
    </row>
    <row r="33" customFormat="false" ht="30" hidden="false" customHeight="true" outlineLevel="0" collapsed="false">
      <c r="A33" s="11" t="s">
        <v>165</v>
      </c>
      <c r="B33" s="12" t="s">
        <v>48</v>
      </c>
      <c r="C33" s="12" t="s">
        <v>166</v>
      </c>
      <c r="D33" s="13" t="s">
        <v>167</v>
      </c>
      <c r="E33" s="18" t="s">
        <v>114</v>
      </c>
      <c r="F33" s="16" t="s">
        <v>75</v>
      </c>
      <c r="G33" s="12" t="n">
        <v>1</v>
      </c>
      <c r="H33" s="11" t="s">
        <v>61</v>
      </c>
      <c r="I33" s="12" t="s">
        <v>54</v>
      </c>
      <c r="J33" s="12" t="s">
        <v>76</v>
      </c>
      <c r="K33" s="12" t="s">
        <v>76</v>
      </c>
      <c r="L33" s="12" t="s">
        <v>76</v>
      </c>
      <c r="M33" s="12" t="s">
        <v>76</v>
      </c>
      <c r="N33" s="12" t="s">
        <v>76</v>
      </c>
      <c r="O33" s="12" t="s">
        <v>76</v>
      </c>
      <c r="P33" s="12" t="s">
        <v>76</v>
      </c>
      <c r="Q33" s="12" t="s">
        <v>76</v>
      </c>
      <c r="R33" s="12" t="s">
        <v>76</v>
      </c>
      <c r="S33" s="12" t="s">
        <v>76</v>
      </c>
      <c r="T33" s="12" t="s">
        <v>76</v>
      </c>
      <c r="U33" s="12" t="s">
        <v>76</v>
      </c>
      <c r="V33" s="12" t="s">
        <v>168</v>
      </c>
    </row>
    <row r="34" customFormat="false" ht="30" hidden="false" customHeight="true" outlineLevel="0" collapsed="false">
      <c r="A34" s="11" t="s">
        <v>169</v>
      </c>
      <c r="B34" s="12" t="s">
        <v>48</v>
      </c>
      <c r="C34" s="12" t="s">
        <v>170</v>
      </c>
      <c r="D34" s="13" t="s">
        <v>171</v>
      </c>
      <c r="E34" s="17" t="s">
        <v>109</v>
      </c>
      <c r="F34" s="16" t="s">
        <v>172</v>
      </c>
      <c r="G34" s="12" t="n">
        <v>5</v>
      </c>
      <c r="H34" s="11" t="s">
        <v>53</v>
      </c>
      <c r="I34" s="16" t="s">
        <v>130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 t="s">
        <v>110</v>
      </c>
    </row>
    <row r="35" customFormat="false" ht="21.75" hidden="false" customHeight="true" outlineLevel="0" collapsed="false">
      <c r="A35" s="10" t="s">
        <v>173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</row>
    <row r="36" customFormat="false" ht="30" hidden="false" customHeight="true" outlineLevel="0" collapsed="false">
      <c r="A36" s="11" t="s">
        <v>174</v>
      </c>
      <c r="B36" s="12" t="s">
        <v>48</v>
      </c>
      <c r="C36" s="12" t="s">
        <v>175</v>
      </c>
      <c r="D36" s="13" t="s">
        <v>176</v>
      </c>
      <c r="E36" s="15" t="s">
        <v>66</v>
      </c>
      <c r="F36" s="16" t="s">
        <v>75</v>
      </c>
      <c r="G36" s="12" t="n">
        <v>2</v>
      </c>
      <c r="H36" s="11" t="s">
        <v>61</v>
      </c>
      <c r="I36" s="12" t="s">
        <v>54</v>
      </c>
      <c r="J36" s="12" t="s">
        <v>76</v>
      </c>
      <c r="K36" s="12" t="s">
        <v>76</v>
      </c>
      <c r="L36" s="12" t="s">
        <v>76</v>
      </c>
      <c r="M36" s="12" t="s">
        <v>76</v>
      </c>
      <c r="N36" s="12" t="s">
        <v>76</v>
      </c>
      <c r="O36" s="12" t="s">
        <v>76</v>
      </c>
      <c r="P36" s="12" t="s">
        <v>76</v>
      </c>
      <c r="Q36" s="12" t="s">
        <v>76</v>
      </c>
      <c r="R36" s="12" t="s">
        <v>76</v>
      </c>
      <c r="S36" s="12" t="s">
        <v>76</v>
      </c>
      <c r="T36" s="12" t="s">
        <v>76</v>
      </c>
      <c r="U36" s="12" t="s">
        <v>76</v>
      </c>
      <c r="V36" s="12" t="s">
        <v>177</v>
      </c>
    </row>
    <row r="37" customFormat="false" ht="30" hidden="false" customHeight="true" outlineLevel="0" collapsed="false">
      <c r="A37" s="11" t="s">
        <v>178</v>
      </c>
      <c r="B37" s="12" t="s">
        <v>48</v>
      </c>
      <c r="C37" s="12" t="s">
        <v>179</v>
      </c>
      <c r="D37" s="13" t="s">
        <v>180</v>
      </c>
      <c r="E37" s="15" t="s">
        <v>120</v>
      </c>
      <c r="F37" s="16" t="s">
        <v>75</v>
      </c>
      <c r="G37" s="12" t="n">
        <v>2</v>
      </c>
      <c r="H37" s="11" t="s">
        <v>53</v>
      </c>
      <c r="I37" s="12" t="s">
        <v>54</v>
      </c>
      <c r="J37" s="12" t="s">
        <v>76</v>
      </c>
      <c r="K37" s="12" t="s">
        <v>76</v>
      </c>
      <c r="L37" s="12" t="s">
        <v>76</v>
      </c>
      <c r="M37" s="12" t="s">
        <v>76</v>
      </c>
      <c r="N37" s="12" t="s">
        <v>76</v>
      </c>
      <c r="O37" s="12" t="s">
        <v>76</v>
      </c>
      <c r="P37" s="12" t="s">
        <v>76</v>
      </c>
      <c r="Q37" s="12" t="s">
        <v>76</v>
      </c>
      <c r="R37" s="12" t="s">
        <v>76</v>
      </c>
      <c r="S37" s="12" t="s">
        <v>76</v>
      </c>
      <c r="T37" s="12" t="s">
        <v>76</v>
      </c>
      <c r="U37" s="12" t="s">
        <v>76</v>
      </c>
      <c r="V37" s="12" t="s">
        <v>181</v>
      </c>
    </row>
    <row r="38" customFormat="false" ht="30" hidden="false" customHeight="true" outlineLevel="0" collapsed="false">
      <c r="A38" s="11" t="s">
        <v>182</v>
      </c>
      <c r="B38" s="12" t="s">
        <v>48</v>
      </c>
      <c r="C38" s="12" t="s">
        <v>183</v>
      </c>
      <c r="D38" s="13" t="s">
        <v>184</v>
      </c>
      <c r="E38" s="18" t="s">
        <v>185</v>
      </c>
      <c r="F38" s="16" t="s">
        <v>75</v>
      </c>
      <c r="G38" s="12" t="n">
        <v>1</v>
      </c>
      <c r="H38" s="11" t="s">
        <v>61</v>
      </c>
      <c r="I38" s="12" t="s">
        <v>54</v>
      </c>
      <c r="J38" s="12" t="s">
        <v>76</v>
      </c>
      <c r="K38" s="12" t="s">
        <v>76</v>
      </c>
      <c r="L38" s="12" t="s">
        <v>76</v>
      </c>
      <c r="M38" s="12" t="s">
        <v>76</v>
      </c>
      <c r="N38" s="12" t="s">
        <v>76</v>
      </c>
      <c r="O38" s="12" t="s">
        <v>76</v>
      </c>
      <c r="P38" s="12" t="s">
        <v>76</v>
      </c>
      <c r="Q38" s="12" t="s">
        <v>76</v>
      </c>
      <c r="R38" s="12" t="s">
        <v>76</v>
      </c>
      <c r="S38" s="12" t="s">
        <v>76</v>
      </c>
      <c r="T38" s="12" t="s">
        <v>76</v>
      </c>
      <c r="U38" s="12" t="s">
        <v>76</v>
      </c>
      <c r="V38" s="12" t="s">
        <v>186</v>
      </c>
    </row>
    <row r="39" customFormat="false" ht="21.75" hidden="false" customHeight="true" outlineLevel="0" collapsed="false">
      <c r="A39" s="9" t="s">
        <v>187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customFormat="false" ht="21.75" hidden="false" customHeight="true" outlineLevel="0" collapsed="false">
      <c r="A40" s="10" t="s">
        <v>188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</row>
    <row r="41" customFormat="false" ht="30" hidden="false" customHeight="true" outlineLevel="0" collapsed="false">
      <c r="A41" s="11" t="s">
        <v>189</v>
      </c>
      <c r="B41" s="12" t="s">
        <v>187</v>
      </c>
      <c r="C41" s="12" t="s">
        <v>190</v>
      </c>
      <c r="D41" s="13" t="s">
        <v>191</v>
      </c>
      <c r="E41" s="15" t="s">
        <v>120</v>
      </c>
      <c r="F41" s="12" t="s">
        <v>101</v>
      </c>
      <c r="G41" s="12" t="n">
        <v>1</v>
      </c>
      <c r="H41" s="11" t="s">
        <v>53</v>
      </c>
      <c r="I41" s="12" t="s">
        <v>54</v>
      </c>
      <c r="J41" s="12" t="s">
        <v>55</v>
      </c>
      <c r="K41" s="12" t="s">
        <v>55</v>
      </c>
      <c r="L41" s="12" t="s">
        <v>55</v>
      </c>
      <c r="M41" s="12" t="s">
        <v>55</v>
      </c>
      <c r="N41" s="12" t="s">
        <v>55</v>
      </c>
      <c r="O41" s="12" t="s">
        <v>55</v>
      </c>
      <c r="P41" s="12" t="s">
        <v>55</v>
      </c>
      <c r="Q41" s="12" t="s">
        <v>55</v>
      </c>
      <c r="R41" s="12" t="s">
        <v>55</v>
      </c>
      <c r="S41" s="12" t="s">
        <v>55</v>
      </c>
      <c r="T41" s="12" t="s">
        <v>55</v>
      </c>
      <c r="U41" s="12" t="s">
        <v>55</v>
      </c>
      <c r="V41" s="12" t="s">
        <v>192</v>
      </c>
    </row>
    <row r="42" customFormat="false" ht="30" hidden="false" customHeight="true" outlineLevel="0" collapsed="false">
      <c r="A42" s="11" t="s">
        <v>193</v>
      </c>
      <c r="B42" s="12" t="s">
        <v>187</v>
      </c>
      <c r="C42" s="12" t="s">
        <v>194</v>
      </c>
      <c r="D42" s="13" t="s">
        <v>195</v>
      </c>
      <c r="E42" s="15" t="s">
        <v>66</v>
      </c>
      <c r="F42" s="12" t="s">
        <v>196</v>
      </c>
      <c r="G42" s="12" t="n">
        <v>10</v>
      </c>
      <c r="H42" s="11" t="s">
        <v>53</v>
      </c>
      <c r="I42" s="16" t="s">
        <v>86</v>
      </c>
      <c r="J42" s="12" t="s">
        <v>197</v>
      </c>
      <c r="K42" s="12"/>
      <c r="L42" s="12"/>
      <c r="M42" s="12" t="s">
        <v>197</v>
      </c>
      <c r="N42" s="12"/>
      <c r="O42" s="12"/>
      <c r="P42" s="12" t="s">
        <v>197</v>
      </c>
      <c r="Q42" s="12"/>
      <c r="R42" s="12"/>
      <c r="S42" s="12" t="s">
        <v>197</v>
      </c>
      <c r="T42" s="12"/>
      <c r="U42" s="12"/>
      <c r="V42" s="12" t="s">
        <v>131</v>
      </c>
    </row>
    <row r="43" customFormat="false" ht="21.75" hidden="false" customHeight="true" outlineLevel="0" collapsed="false">
      <c r="A43" s="10" t="s">
        <v>198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</row>
    <row r="44" customFormat="false" ht="30" hidden="false" customHeight="true" outlineLevel="0" collapsed="false">
      <c r="A44" s="11" t="s">
        <v>199</v>
      </c>
      <c r="B44" s="12" t="s">
        <v>187</v>
      </c>
      <c r="C44" s="12" t="s">
        <v>200</v>
      </c>
      <c r="D44" s="13" t="s">
        <v>201</v>
      </c>
      <c r="E44" s="14" t="s">
        <v>51</v>
      </c>
      <c r="F44" s="16" t="s">
        <v>202</v>
      </c>
      <c r="G44" s="12" t="n">
        <v>1</v>
      </c>
      <c r="H44" s="11" t="s">
        <v>61</v>
      </c>
      <c r="I44" s="12" t="s">
        <v>54</v>
      </c>
      <c r="J44" s="12" t="s">
        <v>55</v>
      </c>
      <c r="K44" s="12" t="s">
        <v>55</v>
      </c>
      <c r="L44" s="12" t="s">
        <v>55</v>
      </c>
      <c r="M44" s="12" t="s">
        <v>55</v>
      </c>
      <c r="N44" s="12" t="s">
        <v>55</v>
      </c>
      <c r="O44" s="12" t="s">
        <v>55</v>
      </c>
      <c r="P44" s="12" t="s">
        <v>55</v>
      </c>
      <c r="Q44" s="12" t="s">
        <v>55</v>
      </c>
      <c r="R44" s="12" t="s">
        <v>55</v>
      </c>
      <c r="S44" s="12" t="s">
        <v>55</v>
      </c>
      <c r="T44" s="12" t="s">
        <v>55</v>
      </c>
      <c r="U44" s="12" t="s">
        <v>55</v>
      </c>
      <c r="V44" s="12" t="s">
        <v>203</v>
      </c>
    </row>
    <row r="45" customFormat="false" ht="30" hidden="false" customHeight="true" outlineLevel="0" collapsed="false">
      <c r="A45" s="11" t="s">
        <v>204</v>
      </c>
      <c r="B45" s="12" t="s">
        <v>187</v>
      </c>
      <c r="C45" s="12" t="s">
        <v>205</v>
      </c>
      <c r="D45" s="13" t="s">
        <v>206</v>
      </c>
      <c r="E45" s="15" t="s">
        <v>66</v>
      </c>
      <c r="F45" s="16" t="s">
        <v>202</v>
      </c>
      <c r="G45" s="12" t="n">
        <v>0.5</v>
      </c>
      <c r="H45" s="11" t="s">
        <v>61</v>
      </c>
      <c r="I45" s="12" t="s">
        <v>54</v>
      </c>
      <c r="J45" s="12" t="s">
        <v>55</v>
      </c>
      <c r="K45" s="12" t="s">
        <v>55</v>
      </c>
      <c r="L45" s="12" t="s">
        <v>55</v>
      </c>
      <c r="M45" s="12" t="s">
        <v>55</v>
      </c>
      <c r="N45" s="12" t="s">
        <v>55</v>
      </c>
      <c r="O45" s="12" t="s">
        <v>55</v>
      </c>
      <c r="P45" s="12" t="s">
        <v>55</v>
      </c>
      <c r="Q45" s="12" t="s">
        <v>55</v>
      </c>
      <c r="R45" s="12" t="s">
        <v>55</v>
      </c>
      <c r="S45" s="12" t="s">
        <v>55</v>
      </c>
      <c r="T45" s="12" t="s">
        <v>55</v>
      </c>
      <c r="U45" s="12" t="s">
        <v>55</v>
      </c>
      <c r="V45" s="12" t="s">
        <v>207</v>
      </c>
    </row>
    <row r="46" customFormat="false" ht="30" hidden="false" customHeight="true" outlineLevel="0" collapsed="false">
      <c r="A46" s="11" t="s">
        <v>208</v>
      </c>
      <c r="B46" s="12" t="s">
        <v>187</v>
      </c>
      <c r="C46" s="12" t="s">
        <v>209</v>
      </c>
      <c r="D46" s="13" t="s">
        <v>210</v>
      </c>
      <c r="E46" s="15" t="s">
        <v>66</v>
      </c>
      <c r="F46" s="12" t="s">
        <v>101</v>
      </c>
      <c r="G46" s="12" t="n">
        <v>0.5</v>
      </c>
      <c r="H46" s="11" t="s">
        <v>61</v>
      </c>
      <c r="I46" s="12" t="s">
        <v>54</v>
      </c>
      <c r="J46" s="12" t="s">
        <v>55</v>
      </c>
      <c r="K46" s="12" t="s">
        <v>55</v>
      </c>
      <c r="L46" s="12" t="s">
        <v>55</v>
      </c>
      <c r="M46" s="12" t="s">
        <v>55</v>
      </c>
      <c r="N46" s="12" t="s">
        <v>55</v>
      </c>
      <c r="O46" s="12" t="s">
        <v>55</v>
      </c>
      <c r="P46" s="12" t="s">
        <v>55</v>
      </c>
      <c r="Q46" s="12" t="s">
        <v>55</v>
      </c>
      <c r="R46" s="12" t="s">
        <v>55</v>
      </c>
      <c r="S46" s="12" t="s">
        <v>55</v>
      </c>
      <c r="T46" s="12" t="s">
        <v>55</v>
      </c>
      <c r="U46" s="12" t="s">
        <v>55</v>
      </c>
      <c r="V46" s="12" t="s">
        <v>211</v>
      </c>
    </row>
    <row r="47" customFormat="false" ht="30" hidden="false" customHeight="true" outlineLevel="0" collapsed="false">
      <c r="A47" s="11" t="s">
        <v>212</v>
      </c>
      <c r="B47" s="12" t="s">
        <v>187</v>
      </c>
      <c r="C47" s="12" t="s">
        <v>213</v>
      </c>
      <c r="D47" s="13" t="s">
        <v>214</v>
      </c>
      <c r="E47" s="18" t="s">
        <v>114</v>
      </c>
      <c r="F47" s="16" t="s">
        <v>202</v>
      </c>
      <c r="G47" s="12" t="n">
        <v>0.5</v>
      </c>
      <c r="H47" s="11" t="s">
        <v>61</v>
      </c>
      <c r="I47" s="12" t="s">
        <v>54</v>
      </c>
      <c r="J47" s="12" t="s">
        <v>55</v>
      </c>
      <c r="K47" s="12" t="s">
        <v>55</v>
      </c>
      <c r="L47" s="12" t="s">
        <v>55</v>
      </c>
      <c r="M47" s="12" t="s">
        <v>55</v>
      </c>
      <c r="N47" s="12" t="s">
        <v>55</v>
      </c>
      <c r="O47" s="12" t="s">
        <v>55</v>
      </c>
      <c r="P47" s="12" t="s">
        <v>55</v>
      </c>
      <c r="Q47" s="12" t="s">
        <v>55</v>
      </c>
      <c r="R47" s="12" t="s">
        <v>55</v>
      </c>
      <c r="S47" s="12" t="s">
        <v>55</v>
      </c>
      <c r="T47" s="12" t="s">
        <v>55</v>
      </c>
      <c r="U47" s="12" t="s">
        <v>55</v>
      </c>
      <c r="V47" s="12" t="s">
        <v>215</v>
      </c>
    </row>
    <row r="48" customFormat="false" ht="30" hidden="false" customHeight="true" outlineLevel="0" collapsed="false">
      <c r="A48" s="11" t="s">
        <v>216</v>
      </c>
      <c r="B48" s="12" t="s">
        <v>187</v>
      </c>
      <c r="C48" s="12" t="s">
        <v>217</v>
      </c>
      <c r="D48" s="13" t="s">
        <v>218</v>
      </c>
      <c r="E48" s="15" t="s">
        <v>66</v>
      </c>
      <c r="F48" s="12" t="s">
        <v>101</v>
      </c>
      <c r="G48" s="12" t="n">
        <v>0.5</v>
      </c>
      <c r="H48" s="11" t="s">
        <v>53</v>
      </c>
      <c r="I48" s="12" t="s">
        <v>54</v>
      </c>
      <c r="J48" s="12" t="s">
        <v>55</v>
      </c>
      <c r="K48" s="12" t="s">
        <v>55</v>
      </c>
      <c r="L48" s="12" t="s">
        <v>55</v>
      </c>
      <c r="M48" s="12" t="s">
        <v>55</v>
      </c>
      <c r="N48" s="12" t="s">
        <v>55</v>
      </c>
      <c r="O48" s="12" t="s">
        <v>55</v>
      </c>
      <c r="P48" s="12" t="s">
        <v>55</v>
      </c>
      <c r="Q48" s="12" t="s">
        <v>55</v>
      </c>
      <c r="R48" s="12" t="s">
        <v>55</v>
      </c>
      <c r="S48" s="12" t="s">
        <v>55</v>
      </c>
      <c r="T48" s="12" t="s">
        <v>55</v>
      </c>
      <c r="U48" s="12" t="s">
        <v>55</v>
      </c>
      <c r="V48" s="12" t="s">
        <v>155</v>
      </c>
    </row>
    <row r="49" customFormat="false" ht="30" hidden="false" customHeight="true" outlineLevel="0" collapsed="false">
      <c r="A49" s="11" t="s">
        <v>219</v>
      </c>
      <c r="B49" s="12" t="s">
        <v>187</v>
      </c>
      <c r="C49" s="12" t="s">
        <v>217</v>
      </c>
      <c r="D49" s="13" t="s">
        <v>220</v>
      </c>
      <c r="E49" s="15" t="s">
        <v>66</v>
      </c>
      <c r="F49" s="16" t="s">
        <v>75</v>
      </c>
      <c r="G49" s="12" t="n">
        <v>0.5</v>
      </c>
      <c r="H49" s="11" t="s">
        <v>53</v>
      </c>
      <c r="I49" s="12" t="s">
        <v>54</v>
      </c>
      <c r="J49" s="12" t="s">
        <v>76</v>
      </c>
      <c r="K49" s="12" t="s">
        <v>76</v>
      </c>
      <c r="L49" s="12" t="s">
        <v>76</v>
      </c>
      <c r="M49" s="12" t="s">
        <v>76</v>
      </c>
      <c r="N49" s="12" t="s">
        <v>76</v>
      </c>
      <c r="O49" s="12" t="s">
        <v>76</v>
      </c>
      <c r="P49" s="12" t="s">
        <v>76</v>
      </c>
      <c r="Q49" s="12" t="s">
        <v>76</v>
      </c>
      <c r="R49" s="12" t="s">
        <v>76</v>
      </c>
      <c r="S49" s="12" t="s">
        <v>76</v>
      </c>
      <c r="T49" s="12" t="s">
        <v>76</v>
      </c>
      <c r="U49" s="12" t="s">
        <v>76</v>
      </c>
      <c r="V49" s="12" t="s">
        <v>186</v>
      </c>
    </row>
    <row r="50" customFormat="false" ht="30" hidden="false" customHeight="true" outlineLevel="0" collapsed="false">
      <c r="A50" s="11" t="s">
        <v>221</v>
      </c>
      <c r="B50" s="12" t="s">
        <v>187</v>
      </c>
      <c r="C50" s="12" t="s">
        <v>222</v>
      </c>
      <c r="D50" s="13" t="s">
        <v>223</v>
      </c>
      <c r="E50" s="15" t="s">
        <v>66</v>
      </c>
      <c r="F50" s="12" t="s">
        <v>101</v>
      </c>
      <c r="G50" s="12" t="n">
        <v>1</v>
      </c>
      <c r="H50" s="11" t="s">
        <v>61</v>
      </c>
      <c r="I50" s="12" t="s">
        <v>54</v>
      </c>
      <c r="J50" s="12" t="s">
        <v>55</v>
      </c>
      <c r="K50" s="12" t="s">
        <v>55</v>
      </c>
      <c r="L50" s="12" t="s">
        <v>55</v>
      </c>
      <c r="M50" s="12" t="s">
        <v>55</v>
      </c>
      <c r="N50" s="12" t="s">
        <v>55</v>
      </c>
      <c r="O50" s="12" t="s">
        <v>55</v>
      </c>
      <c r="P50" s="12" t="s">
        <v>55</v>
      </c>
      <c r="Q50" s="12" t="s">
        <v>55</v>
      </c>
      <c r="R50" s="12" t="s">
        <v>55</v>
      </c>
      <c r="S50" s="12" t="s">
        <v>55</v>
      </c>
      <c r="T50" s="12" t="s">
        <v>55</v>
      </c>
      <c r="U50" s="12" t="s">
        <v>55</v>
      </c>
      <c r="V50" s="12" t="s">
        <v>142</v>
      </c>
    </row>
    <row r="51" customFormat="false" ht="30" hidden="false" customHeight="true" outlineLevel="0" collapsed="false">
      <c r="A51" s="11" t="s">
        <v>224</v>
      </c>
      <c r="B51" s="12" t="s">
        <v>187</v>
      </c>
      <c r="C51" s="12" t="s">
        <v>225</v>
      </c>
      <c r="D51" s="13" t="s">
        <v>226</v>
      </c>
      <c r="E51" s="15" t="s">
        <v>66</v>
      </c>
      <c r="F51" s="16" t="s">
        <v>202</v>
      </c>
      <c r="G51" s="12" t="n">
        <v>0.5</v>
      </c>
      <c r="H51" s="11" t="s">
        <v>61</v>
      </c>
      <c r="I51" s="12" t="s">
        <v>54</v>
      </c>
      <c r="J51" s="12" t="s">
        <v>55</v>
      </c>
      <c r="K51" s="12" t="s">
        <v>55</v>
      </c>
      <c r="L51" s="12" t="s">
        <v>55</v>
      </c>
      <c r="M51" s="12" t="s">
        <v>55</v>
      </c>
      <c r="N51" s="12" t="s">
        <v>55</v>
      </c>
      <c r="O51" s="12" t="s">
        <v>55</v>
      </c>
      <c r="P51" s="12" t="s">
        <v>55</v>
      </c>
      <c r="Q51" s="12" t="s">
        <v>55</v>
      </c>
      <c r="R51" s="12" t="s">
        <v>55</v>
      </c>
      <c r="S51" s="12" t="s">
        <v>55</v>
      </c>
      <c r="T51" s="12" t="s">
        <v>55</v>
      </c>
      <c r="U51" s="12" t="s">
        <v>55</v>
      </c>
      <c r="V51" s="12" t="s">
        <v>82</v>
      </c>
    </row>
    <row r="52" customFormat="false" ht="30" hidden="false" customHeight="true" outlineLevel="0" collapsed="false">
      <c r="A52" s="11" t="s">
        <v>227</v>
      </c>
      <c r="B52" s="12" t="s">
        <v>187</v>
      </c>
      <c r="C52" s="12" t="s">
        <v>228</v>
      </c>
      <c r="D52" s="13" t="s">
        <v>229</v>
      </c>
      <c r="E52" s="19" t="s">
        <v>230</v>
      </c>
      <c r="F52" s="12" t="s">
        <v>231</v>
      </c>
      <c r="G52" s="12" t="n">
        <v>3</v>
      </c>
      <c r="H52" s="11" t="s">
        <v>61</v>
      </c>
      <c r="I52" s="12" t="s">
        <v>54</v>
      </c>
      <c r="J52" s="12" t="s">
        <v>76</v>
      </c>
      <c r="K52" s="12" t="s">
        <v>76</v>
      </c>
      <c r="L52" s="12" t="s">
        <v>76</v>
      </c>
      <c r="M52" s="12" t="s">
        <v>76</v>
      </c>
      <c r="N52" s="12" t="s">
        <v>76</v>
      </c>
      <c r="O52" s="12" t="s">
        <v>76</v>
      </c>
      <c r="P52" s="12" t="s">
        <v>76</v>
      </c>
      <c r="Q52" s="12" t="s">
        <v>76</v>
      </c>
      <c r="R52" s="12" t="s">
        <v>76</v>
      </c>
      <c r="S52" s="12" t="s">
        <v>76</v>
      </c>
      <c r="T52" s="12" t="s">
        <v>76</v>
      </c>
      <c r="U52" s="12" t="s">
        <v>76</v>
      </c>
      <c r="V52" s="12" t="s">
        <v>232</v>
      </c>
    </row>
    <row r="53" customFormat="false" ht="30" hidden="false" customHeight="true" outlineLevel="0" collapsed="false">
      <c r="A53" s="11" t="s">
        <v>233</v>
      </c>
      <c r="B53" s="12" t="s">
        <v>187</v>
      </c>
      <c r="C53" s="12" t="s">
        <v>200</v>
      </c>
      <c r="D53" s="13" t="s">
        <v>234</v>
      </c>
      <c r="E53" s="15" t="s">
        <v>66</v>
      </c>
      <c r="F53" s="12" t="s">
        <v>196</v>
      </c>
      <c r="G53" s="12" t="n">
        <v>1</v>
      </c>
      <c r="H53" s="11" t="s">
        <v>61</v>
      </c>
      <c r="I53" s="12" t="s">
        <v>54</v>
      </c>
      <c r="J53" s="12" t="s">
        <v>197</v>
      </c>
      <c r="K53" s="12"/>
      <c r="L53" s="12"/>
      <c r="M53" s="12" t="s">
        <v>197</v>
      </c>
      <c r="N53" s="12"/>
      <c r="O53" s="12"/>
      <c r="P53" s="12" t="s">
        <v>197</v>
      </c>
      <c r="Q53" s="12"/>
      <c r="R53" s="12"/>
      <c r="S53" s="12" t="s">
        <v>197</v>
      </c>
      <c r="T53" s="12"/>
      <c r="U53" s="12"/>
      <c r="V53" s="12" t="s">
        <v>235</v>
      </c>
    </row>
    <row r="54" customFormat="false" ht="30" hidden="false" customHeight="true" outlineLevel="0" collapsed="false">
      <c r="A54" s="11" t="s">
        <v>236</v>
      </c>
      <c r="B54" s="12" t="s">
        <v>187</v>
      </c>
      <c r="C54" s="12" t="s">
        <v>213</v>
      </c>
      <c r="D54" s="13" t="s">
        <v>237</v>
      </c>
      <c r="E54" s="15" t="s">
        <v>128</v>
      </c>
      <c r="F54" s="12" t="s">
        <v>196</v>
      </c>
      <c r="G54" s="12" t="n">
        <v>3</v>
      </c>
      <c r="H54" s="11" t="s">
        <v>61</v>
      </c>
      <c r="I54" s="16" t="s">
        <v>130</v>
      </c>
      <c r="J54" s="12" t="s">
        <v>197</v>
      </c>
      <c r="K54" s="12"/>
      <c r="L54" s="12"/>
      <c r="M54" s="12" t="s">
        <v>197</v>
      </c>
      <c r="N54" s="12"/>
      <c r="O54" s="12"/>
      <c r="P54" s="12" t="s">
        <v>197</v>
      </c>
      <c r="Q54" s="12"/>
      <c r="R54" s="12"/>
      <c r="S54" s="12" t="s">
        <v>197</v>
      </c>
      <c r="T54" s="12"/>
      <c r="U54" s="12"/>
      <c r="V54" s="12" t="s">
        <v>238</v>
      </c>
    </row>
    <row r="55" customFormat="false" ht="30" hidden="false" customHeight="true" outlineLevel="0" collapsed="false">
      <c r="A55" s="11" t="s">
        <v>239</v>
      </c>
      <c r="B55" s="12" t="s">
        <v>187</v>
      </c>
      <c r="C55" s="12" t="s">
        <v>217</v>
      </c>
      <c r="D55" s="13" t="s">
        <v>240</v>
      </c>
      <c r="E55" s="15" t="s">
        <v>66</v>
      </c>
      <c r="F55" s="12" t="s">
        <v>196</v>
      </c>
      <c r="G55" s="12" t="n">
        <v>1</v>
      </c>
      <c r="H55" s="11" t="s">
        <v>53</v>
      </c>
      <c r="I55" s="12" t="s">
        <v>54</v>
      </c>
      <c r="J55" s="12" t="s">
        <v>197</v>
      </c>
      <c r="K55" s="12"/>
      <c r="L55" s="12"/>
      <c r="M55" s="12" t="s">
        <v>197</v>
      </c>
      <c r="N55" s="12"/>
      <c r="O55" s="12"/>
      <c r="P55" s="12" t="s">
        <v>197</v>
      </c>
      <c r="Q55" s="12"/>
      <c r="R55" s="12"/>
      <c r="S55" s="12" t="s">
        <v>197</v>
      </c>
      <c r="T55" s="12"/>
      <c r="U55" s="12"/>
      <c r="V55" s="12" t="s">
        <v>241</v>
      </c>
    </row>
    <row r="56" customFormat="false" ht="30" hidden="false" customHeight="true" outlineLevel="0" collapsed="false">
      <c r="A56" s="11" t="s">
        <v>242</v>
      </c>
      <c r="B56" s="12" t="s">
        <v>187</v>
      </c>
      <c r="C56" s="12" t="s">
        <v>243</v>
      </c>
      <c r="D56" s="13" t="s">
        <v>244</v>
      </c>
      <c r="E56" s="15" t="s">
        <v>245</v>
      </c>
      <c r="F56" s="12" t="s">
        <v>246</v>
      </c>
      <c r="G56" s="12" t="n">
        <v>30</v>
      </c>
      <c r="H56" s="11" t="s">
        <v>53</v>
      </c>
      <c r="I56" s="16" t="s">
        <v>247</v>
      </c>
      <c r="J56" s="12"/>
      <c r="K56" s="12"/>
      <c r="L56" s="12"/>
      <c r="M56" s="12"/>
      <c r="N56" s="12"/>
      <c r="O56" s="12"/>
      <c r="P56" s="12" t="s">
        <v>109</v>
      </c>
      <c r="Q56" s="12"/>
      <c r="R56" s="12"/>
      <c r="S56" s="12"/>
      <c r="T56" s="12"/>
      <c r="U56" s="12"/>
      <c r="V56" s="12" t="s">
        <v>248</v>
      </c>
    </row>
    <row r="57" customFormat="false" ht="21.75" hidden="false" customHeight="true" outlineLevel="0" collapsed="false">
      <c r="A57" s="10" t="s">
        <v>116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</row>
    <row r="58" customFormat="false" ht="30" hidden="false" customHeight="true" outlineLevel="0" collapsed="false">
      <c r="A58" s="11" t="s">
        <v>249</v>
      </c>
      <c r="B58" s="12" t="s">
        <v>187</v>
      </c>
      <c r="C58" s="12" t="s">
        <v>250</v>
      </c>
      <c r="D58" s="13" t="s">
        <v>251</v>
      </c>
      <c r="E58" s="15" t="s">
        <v>66</v>
      </c>
      <c r="F58" s="12" t="s">
        <v>101</v>
      </c>
      <c r="G58" s="12" t="n">
        <v>1</v>
      </c>
      <c r="H58" s="11" t="s">
        <v>61</v>
      </c>
      <c r="I58" s="12" t="s">
        <v>54</v>
      </c>
      <c r="J58" s="12" t="s">
        <v>55</v>
      </c>
      <c r="K58" s="12" t="s">
        <v>55</v>
      </c>
      <c r="L58" s="12" t="s">
        <v>55</v>
      </c>
      <c r="M58" s="12" t="s">
        <v>55</v>
      </c>
      <c r="N58" s="12" t="s">
        <v>55</v>
      </c>
      <c r="O58" s="12" t="s">
        <v>55</v>
      </c>
      <c r="P58" s="12" t="s">
        <v>55</v>
      </c>
      <c r="Q58" s="12" t="s">
        <v>55</v>
      </c>
      <c r="R58" s="12" t="s">
        <v>55</v>
      </c>
      <c r="S58" s="12" t="s">
        <v>55</v>
      </c>
      <c r="T58" s="12" t="s">
        <v>55</v>
      </c>
      <c r="U58" s="12" t="s">
        <v>55</v>
      </c>
      <c r="V58" s="12" t="s">
        <v>252</v>
      </c>
    </row>
    <row r="59" customFormat="false" ht="30" hidden="false" customHeight="true" outlineLevel="0" collapsed="false">
      <c r="A59" s="11" t="s">
        <v>253</v>
      </c>
      <c r="B59" s="12" t="s">
        <v>187</v>
      </c>
      <c r="C59" s="12" t="s">
        <v>254</v>
      </c>
      <c r="D59" s="13" t="s">
        <v>255</v>
      </c>
      <c r="E59" s="15" t="s">
        <v>66</v>
      </c>
      <c r="F59" s="12" t="s">
        <v>196</v>
      </c>
      <c r="G59" s="12" t="n">
        <v>2</v>
      </c>
      <c r="H59" s="11" t="s">
        <v>53</v>
      </c>
      <c r="I59" s="12" t="s">
        <v>54</v>
      </c>
      <c r="J59" s="12" t="s">
        <v>197</v>
      </c>
      <c r="K59" s="12"/>
      <c r="L59" s="12"/>
      <c r="M59" s="12" t="s">
        <v>197</v>
      </c>
      <c r="N59" s="12"/>
      <c r="O59" s="12"/>
      <c r="P59" s="12" t="s">
        <v>197</v>
      </c>
      <c r="Q59" s="12"/>
      <c r="R59" s="12"/>
      <c r="S59" s="12" t="s">
        <v>197</v>
      </c>
      <c r="T59" s="12"/>
      <c r="U59" s="12"/>
      <c r="V59" s="12" t="s">
        <v>256</v>
      </c>
    </row>
    <row r="60" customFormat="false" ht="30" hidden="false" customHeight="true" outlineLevel="0" collapsed="false">
      <c r="A60" s="11" t="s">
        <v>257</v>
      </c>
      <c r="B60" s="12" t="s">
        <v>187</v>
      </c>
      <c r="C60" s="12" t="s">
        <v>258</v>
      </c>
      <c r="D60" s="13" t="s">
        <v>259</v>
      </c>
      <c r="E60" s="15" t="s">
        <v>128</v>
      </c>
      <c r="F60" s="12" t="s">
        <v>196</v>
      </c>
      <c r="G60" s="12" t="n">
        <v>2</v>
      </c>
      <c r="H60" s="11" t="s">
        <v>260</v>
      </c>
      <c r="I60" s="16" t="s">
        <v>130</v>
      </c>
      <c r="J60" s="12" t="s">
        <v>197</v>
      </c>
      <c r="K60" s="12"/>
      <c r="L60" s="12"/>
      <c r="M60" s="12" t="s">
        <v>197</v>
      </c>
      <c r="N60" s="12"/>
      <c r="O60" s="12"/>
      <c r="P60" s="12" t="s">
        <v>197</v>
      </c>
      <c r="Q60" s="12"/>
      <c r="R60" s="12"/>
      <c r="S60" s="12" t="s">
        <v>197</v>
      </c>
      <c r="T60" s="12"/>
      <c r="U60" s="12"/>
      <c r="V60" s="12" t="s">
        <v>261</v>
      </c>
    </row>
    <row r="61" customFormat="false" ht="30" hidden="false" customHeight="true" outlineLevel="0" collapsed="false">
      <c r="A61" s="11" t="s">
        <v>262</v>
      </c>
      <c r="B61" s="12" t="s">
        <v>187</v>
      </c>
      <c r="C61" s="12" t="s">
        <v>263</v>
      </c>
      <c r="D61" s="13" t="s">
        <v>264</v>
      </c>
      <c r="E61" s="15" t="s">
        <v>66</v>
      </c>
      <c r="F61" s="12" t="s">
        <v>246</v>
      </c>
      <c r="G61" s="12" t="n">
        <v>30</v>
      </c>
      <c r="H61" s="11" t="s">
        <v>61</v>
      </c>
      <c r="I61" s="16" t="s">
        <v>247</v>
      </c>
      <c r="J61" s="12"/>
      <c r="K61" s="12"/>
      <c r="L61" s="12"/>
      <c r="M61" s="12"/>
      <c r="N61" s="12"/>
      <c r="O61" s="12"/>
      <c r="P61" s="12" t="s">
        <v>109</v>
      </c>
      <c r="Q61" s="12"/>
      <c r="R61" s="12"/>
      <c r="S61" s="12"/>
      <c r="T61" s="12"/>
      <c r="U61" s="12"/>
      <c r="V61" s="12" t="s">
        <v>265</v>
      </c>
    </row>
    <row r="62" customFormat="false" ht="30" hidden="false" customHeight="true" outlineLevel="0" collapsed="false">
      <c r="A62" s="11" t="s">
        <v>266</v>
      </c>
      <c r="B62" s="12" t="s">
        <v>187</v>
      </c>
      <c r="C62" s="12" t="s">
        <v>267</v>
      </c>
      <c r="D62" s="13" t="s">
        <v>268</v>
      </c>
      <c r="E62" s="15" t="s">
        <v>66</v>
      </c>
      <c r="F62" s="12" t="s">
        <v>246</v>
      </c>
      <c r="G62" s="12" t="n">
        <v>20</v>
      </c>
      <c r="H62" s="11" t="s">
        <v>61</v>
      </c>
      <c r="I62" s="16" t="s">
        <v>247</v>
      </c>
      <c r="J62" s="12"/>
      <c r="K62" s="12"/>
      <c r="L62" s="12"/>
      <c r="M62" s="12"/>
      <c r="N62" s="12"/>
      <c r="O62" s="12"/>
      <c r="P62" s="12" t="s">
        <v>109</v>
      </c>
      <c r="Q62" s="12"/>
      <c r="R62" s="12"/>
      <c r="S62" s="12"/>
      <c r="T62" s="12"/>
      <c r="U62" s="12"/>
      <c r="V62" s="12" t="s">
        <v>269</v>
      </c>
    </row>
    <row r="63" customFormat="false" ht="21.75" hidden="false" customHeight="true" outlineLevel="0" collapsed="false">
      <c r="A63" s="10" t="s">
        <v>270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</row>
    <row r="64" customFormat="false" ht="30" hidden="false" customHeight="true" outlineLevel="0" collapsed="false">
      <c r="A64" s="11" t="s">
        <v>271</v>
      </c>
      <c r="B64" s="12" t="s">
        <v>187</v>
      </c>
      <c r="C64" s="12" t="s">
        <v>272</v>
      </c>
      <c r="D64" s="13" t="s">
        <v>273</v>
      </c>
      <c r="E64" s="15" t="s">
        <v>66</v>
      </c>
      <c r="F64" s="12" t="s">
        <v>196</v>
      </c>
      <c r="G64" s="12" t="n">
        <v>5</v>
      </c>
      <c r="H64" s="11" t="s">
        <v>53</v>
      </c>
      <c r="I64" s="12" t="s">
        <v>54</v>
      </c>
      <c r="J64" s="12" t="s">
        <v>197</v>
      </c>
      <c r="K64" s="12"/>
      <c r="L64" s="12"/>
      <c r="M64" s="12" t="s">
        <v>197</v>
      </c>
      <c r="N64" s="12"/>
      <c r="O64" s="12"/>
      <c r="P64" s="12" t="s">
        <v>197</v>
      </c>
      <c r="Q64" s="12"/>
      <c r="R64" s="12"/>
      <c r="S64" s="12" t="s">
        <v>197</v>
      </c>
      <c r="T64" s="12"/>
      <c r="U64" s="12"/>
      <c r="V64" s="12" t="s">
        <v>274</v>
      </c>
    </row>
    <row r="65" customFormat="false" ht="30" hidden="false" customHeight="true" outlineLevel="0" collapsed="false">
      <c r="A65" s="11" t="s">
        <v>275</v>
      </c>
      <c r="B65" s="12" t="s">
        <v>187</v>
      </c>
      <c r="C65" s="12" t="s">
        <v>276</v>
      </c>
      <c r="D65" s="13" t="s">
        <v>277</v>
      </c>
      <c r="E65" s="15" t="s">
        <v>66</v>
      </c>
      <c r="F65" s="12" t="s">
        <v>246</v>
      </c>
      <c r="G65" s="12" t="n">
        <v>30</v>
      </c>
      <c r="H65" s="11" t="s">
        <v>53</v>
      </c>
      <c r="I65" s="16" t="s">
        <v>247</v>
      </c>
      <c r="J65" s="12"/>
      <c r="K65" s="12"/>
      <c r="L65" s="12"/>
      <c r="M65" s="12"/>
      <c r="N65" s="12"/>
      <c r="O65" s="12"/>
      <c r="P65" s="12" t="s">
        <v>109</v>
      </c>
      <c r="Q65" s="12"/>
      <c r="R65" s="12"/>
      <c r="S65" s="12"/>
      <c r="T65" s="12"/>
      <c r="U65" s="12"/>
      <c r="V65" s="12" t="s">
        <v>267</v>
      </c>
    </row>
    <row r="66" customFormat="false" ht="21.75" hidden="false" customHeight="true" outlineLevel="0" collapsed="false">
      <c r="A66" s="10" t="s">
        <v>278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</row>
    <row r="67" customFormat="false" ht="30" hidden="false" customHeight="true" outlineLevel="0" collapsed="false">
      <c r="A67" s="11" t="s">
        <v>279</v>
      </c>
      <c r="B67" s="12" t="s">
        <v>187</v>
      </c>
      <c r="C67" s="12" t="s">
        <v>280</v>
      </c>
      <c r="D67" s="13" t="s">
        <v>281</v>
      </c>
      <c r="E67" s="15" t="s">
        <v>66</v>
      </c>
      <c r="F67" s="16" t="s">
        <v>75</v>
      </c>
      <c r="G67" s="12" t="n">
        <v>2</v>
      </c>
      <c r="H67" s="11" t="s">
        <v>53</v>
      </c>
      <c r="I67" s="12" t="s">
        <v>54</v>
      </c>
      <c r="J67" s="12" t="s">
        <v>76</v>
      </c>
      <c r="K67" s="12" t="s">
        <v>76</v>
      </c>
      <c r="L67" s="12" t="s">
        <v>76</v>
      </c>
      <c r="M67" s="12" t="s">
        <v>76</v>
      </c>
      <c r="N67" s="12" t="s">
        <v>76</v>
      </c>
      <c r="O67" s="12" t="s">
        <v>76</v>
      </c>
      <c r="P67" s="12" t="s">
        <v>76</v>
      </c>
      <c r="Q67" s="12" t="s">
        <v>76</v>
      </c>
      <c r="R67" s="12" t="s">
        <v>76</v>
      </c>
      <c r="S67" s="12" t="s">
        <v>76</v>
      </c>
      <c r="T67" s="12" t="s">
        <v>76</v>
      </c>
      <c r="U67" s="12" t="s">
        <v>76</v>
      </c>
      <c r="V67" s="12" t="s">
        <v>282</v>
      </c>
    </row>
    <row r="68" customFormat="false" ht="30" hidden="false" customHeight="true" outlineLevel="0" collapsed="false">
      <c r="A68" s="11" t="s">
        <v>283</v>
      </c>
      <c r="B68" s="12" t="s">
        <v>187</v>
      </c>
      <c r="C68" s="12" t="s">
        <v>284</v>
      </c>
      <c r="D68" s="13" t="s">
        <v>285</v>
      </c>
      <c r="E68" s="18" t="s">
        <v>185</v>
      </c>
      <c r="F68" s="16" t="s">
        <v>75</v>
      </c>
      <c r="G68" s="12" t="n">
        <v>1</v>
      </c>
      <c r="H68" s="11" t="s">
        <v>53</v>
      </c>
      <c r="I68" s="12" t="s">
        <v>54</v>
      </c>
      <c r="J68" s="12" t="s">
        <v>76</v>
      </c>
      <c r="K68" s="12" t="s">
        <v>76</v>
      </c>
      <c r="L68" s="12" t="s">
        <v>76</v>
      </c>
      <c r="M68" s="12" t="s">
        <v>76</v>
      </c>
      <c r="N68" s="12" t="s">
        <v>76</v>
      </c>
      <c r="O68" s="12" t="s">
        <v>76</v>
      </c>
      <c r="P68" s="12" t="s">
        <v>76</v>
      </c>
      <c r="Q68" s="12" t="s">
        <v>76</v>
      </c>
      <c r="R68" s="12" t="s">
        <v>76</v>
      </c>
      <c r="S68" s="12" t="s">
        <v>76</v>
      </c>
      <c r="T68" s="12" t="s">
        <v>76</v>
      </c>
      <c r="U68" s="12" t="s">
        <v>76</v>
      </c>
      <c r="V68" s="12" t="s">
        <v>286</v>
      </c>
    </row>
    <row r="70" customFormat="false" ht="19.4" hidden="false" customHeight="false" outlineLevel="0" collapsed="false">
      <c r="J70" s="20" t="s">
        <v>55</v>
      </c>
      <c r="K70" s="12" t="s">
        <v>287</v>
      </c>
      <c r="L70" s="21" t="s">
        <v>76</v>
      </c>
      <c r="M70" s="12" t="s">
        <v>288</v>
      </c>
      <c r="N70" s="22" t="s">
        <v>197</v>
      </c>
      <c r="O70" s="12" t="s">
        <v>289</v>
      </c>
      <c r="P70" s="23" t="s">
        <v>87</v>
      </c>
      <c r="Q70" s="12" t="s">
        <v>290</v>
      </c>
      <c r="R70" s="24" t="s">
        <v>109</v>
      </c>
      <c r="S70" s="12" t="s">
        <v>291</v>
      </c>
    </row>
  </sheetData>
  <mergeCells count="14">
    <mergeCell ref="A1:V1"/>
    <mergeCell ref="A2:V2"/>
    <mergeCell ref="A5:V5"/>
    <mergeCell ref="A6:V6"/>
    <mergeCell ref="A14:V14"/>
    <mergeCell ref="A20:V20"/>
    <mergeCell ref="A30:V30"/>
    <mergeCell ref="A35:V35"/>
    <mergeCell ref="A39:V39"/>
    <mergeCell ref="A40:V40"/>
    <mergeCell ref="A43:V43"/>
    <mergeCell ref="A57:V57"/>
    <mergeCell ref="A63:V63"/>
    <mergeCell ref="A66:V66"/>
  </mergeCells>
  <conditionalFormatting sqref="H7:H68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"LOW"</formula>
    </cfRule>
  </conditionalFormatting>
  <conditionalFormatting sqref="J7:U68">
    <cfRule type="cellIs" priority="6" operator="equal" aboveAverage="0" equalAverage="0" bottom="0" percent="0" rank="0" text="" dxfId="4">
      <formula>"D"</formula>
    </cfRule>
    <cfRule type="cellIs" priority="7" operator="equal" aboveAverage="0" equalAverage="0" bottom="0" percent="0" rank="0" text="" dxfId="5">
      <formula>"W"</formula>
    </cfRule>
    <cfRule type="cellIs" priority="8" operator="equal" aboveAverage="0" equalAverage="0" bottom="0" percent="0" rank="0" text="" dxfId="6">
      <formula>"M"</formula>
    </cfRule>
    <cfRule type="cellIs" priority="9" operator="equal" aboveAverage="0" equalAverage="0" bottom="0" percent="0" rank="0" text="" dxfId="7">
      <formula>"Q"</formula>
    </cfRule>
    <cfRule type="cellIs" priority="10" operator="equal" aboveAverage="0" equalAverage="0" bottom="0" percent="0" rank="0" text="" dxfId="8">
      <formula>"S"</formula>
    </cfRule>
    <cfRule type="cellIs" priority="11" operator="equal" aboveAverage="0" equalAverage="0" bottom="0" percent="0" rank="0" text="" dxfId="9">
      <formula>"A"</formula>
    </cfRule>
  </conditionalFormatting>
  <dataValidations count="1">
    <dataValidation allowBlank="true" errorStyle="stop" operator="between" prompt="D ทุกวัน · W รายสัปดาห์ · Q 3 เดือน · S 6 เดือน · A 1 ปี · ลบ = ไม่ทำเดือนนี้" promptTitle="รหัสความถี่" showDropDown="false" showErrorMessage="false" showInputMessage="false" sqref="J7:U68" type="list">
      <formula1>"D,W,Q,S,A"</formula1>
      <formula2>0</formula2>
    </dataValidation>
  </dataValidations>
  <printOptions headings="false" gridLines="false" gridLinesSet="true" horizontalCentered="true" verticalCentered="false"/>
  <pageMargins left="0.3" right="0.3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3" min="2" style="0" width="8"/>
    <col collapsed="false" customWidth="true" hidden="false" outlineLevel="0" max="14" min="14" style="0" width="11"/>
  </cols>
  <sheetData>
    <row r="1" customFormat="false" ht="30" hidden="false" customHeight="true" outlineLevel="0" collapsed="false">
      <c r="A1" s="1" t="s">
        <v>292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1.9" hidden="false" customHeight="false" outlineLevel="0" collapsed="false">
      <c r="A2" s="2" t="s">
        <v>293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6" hidden="false" customHeight="true" outlineLevel="0" collapsed="false">
      <c r="A4" s="8" t="s">
        <v>294</v>
      </c>
      <c r="B4" s="8" t="s">
        <v>32</v>
      </c>
      <c r="C4" s="8" t="s">
        <v>33</v>
      </c>
      <c r="D4" s="8" t="s">
        <v>34</v>
      </c>
      <c r="E4" s="8" t="s">
        <v>35</v>
      </c>
      <c r="F4" s="8" t="s">
        <v>36</v>
      </c>
      <c r="G4" s="8" t="s">
        <v>37</v>
      </c>
      <c r="H4" s="8" t="s">
        <v>38</v>
      </c>
      <c r="I4" s="8" t="s">
        <v>39</v>
      </c>
      <c r="J4" s="8" t="s">
        <v>40</v>
      </c>
      <c r="K4" s="8" t="s">
        <v>41</v>
      </c>
      <c r="L4" s="8" t="s">
        <v>42</v>
      </c>
      <c r="M4" s="8" t="s">
        <v>43</v>
      </c>
      <c r="N4" s="8" t="s">
        <v>295</v>
      </c>
    </row>
    <row r="5" customFormat="false" ht="15" hidden="false" customHeight="false" outlineLevel="0" collapsed="false">
      <c r="A5" s="25" t="s">
        <v>296</v>
      </c>
      <c r="B5" s="26" t="n">
        <v>26</v>
      </c>
      <c r="C5" s="26" t="n">
        <v>26</v>
      </c>
      <c r="D5" s="26" t="n">
        <v>26</v>
      </c>
      <c r="E5" s="26" t="n">
        <v>26</v>
      </c>
      <c r="F5" s="26" t="n">
        <v>26</v>
      </c>
      <c r="G5" s="26" t="n">
        <v>26</v>
      </c>
      <c r="H5" s="26" t="n">
        <v>26</v>
      </c>
      <c r="I5" s="26" t="n">
        <v>26</v>
      </c>
      <c r="J5" s="26" t="n">
        <v>26</v>
      </c>
      <c r="K5" s="26" t="n">
        <v>26</v>
      </c>
      <c r="L5" s="26" t="n">
        <v>26</v>
      </c>
      <c r="M5" s="26" t="n">
        <v>26</v>
      </c>
    </row>
    <row r="6" customFormat="false" ht="15" hidden="false" customHeight="false" outlineLevel="0" collapsed="false">
      <c r="A6" s="25" t="s">
        <v>297</v>
      </c>
      <c r="B6" s="26" t="n">
        <v>4</v>
      </c>
      <c r="C6" s="26" t="n">
        <v>4</v>
      </c>
      <c r="D6" s="26" t="n">
        <v>4</v>
      </c>
      <c r="E6" s="26" t="n">
        <v>4</v>
      </c>
      <c r="F6" s="26" t="n">
        <v>4</v>
      </c>
      <c r="G6" s="26" t="n">
        <v>4</v>
      </c>
      <c r="H6" s="26" t="n">
        <v>4</v>
      </c>
      <c r="I6" s="26" t="n">
        <v>4</v>
      </c>
      <c r="J6" s="26" t="n">
        <v>4</v>
      </c>
      <c r="K6" s="26" t="n">
        <v>4</v>
      </c>
      <c r="L6" s="26" t="n">
        <v>4</v>
      </c>
      <c r="M6" s="26" t="n">
        <v>4</v>
      </c>
    </row>
    <row r="8" customFormat="false" ht="21.75" hidden="false" customHeight="true" outlineLevel="0" collapsed="false">
      <c r="A8" s="10" t="s">
        <v>45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customFormat="false" ht="15" hidden="false" customHeight="false" outlineLevel="0" collapsed="false">
      <c r="A9" s="13" t="s">
        <v>298</v>
      </c>
      <c r="B9" s="12" t="n">
        <f aca="false">SUMIFS(AM_Calendar!$G$7:$G$68,AM_Calendar!$B$7:$B$68,"ไฮดรอลิก",AM_Calendar!$F$7:$F$68,"D*")*B$5</f>
        <v>286</v>
      </c>
      <c r="C9" s="12" t="n">
        <f aca="false">SUMIFS(AM_Calendar!$G$7:$G$68,AM_Calendar!$B$7:$B$68,"ไฮดรอลิก",AM_Calendar!$F$7:$F$68,"D*")*C$5</f>
        <v>286</v>
      </c>
      <c r="D9" s="12" t="n">
        <f aca="false">SUMIFS(AM_Calendar!$G$7:$G$68,AM_Calendar!$B$7:$B$68,"ไฮดรอลิก",AM_Calendar!$F$7:$F$68,"D*")*D$5</f>
        <v>286</v>
      </c>
      <c r="E9" s="12" t="n">
        <f aca="false">SUMIFS(AM_Calendar!$G$7:$G$68,AM_Calendar!$B$7:$B$68,"ไฮดรอลิก",AM_Calendar!$F$7:$F$68,"D*")*E$5</f>
        <v>286</v>
      </c>
      <c r="F9" s="12" t="n">
        <f aca="false">SUMIFS(AM_Calendar!$G$7:$G$68,AM_Calendar!$B$7:$B$68,"ไฮดรอลิก",AM_Calendar!$F$7:$F$68,"D*")*F$5</f>
        <v>286</v>
      </c>
      <c r="G9" s="12" t="n">
        <f aca="false">SUMIFS(AM_Calendar!$G$7:$G$68,AM_Calendar!$B$7:$B$68,"ไฮดรอลิก",AM_Calendar!$F$7:$F$68,"D*")*G$5</f>
        <v>286</v>
      </c>
      <c r="H9" s="12" t="n">
        <f aca="false">SUMIFS(AM_Calendar!$G$7:$G$68,AM_Calendar!$B$7:$B$68,"ไฮดรอลิก",AM_Calendar!$F$7:$F$68,"D*")*H$5</f>
        <v>286</v>
      </c>
      <c r="I9" s="12" t="n">
        <f aca="false">SUMIFS(AM_Calendar!$G$7:$G$68,AM_Calendar!$B$7:$B$68,"ไฮดรอลิก",AM_Calendar!$F$7:$F$68,"D*")*I$5</f>
        <v>286</v>
      </c>
      <c r="J9" s="12" t="n">
        <f aca="false">SUMIFS(AM_Calendar!$G$7:$G$68,AM_Calendar!$B$7:$B$68,"ไฮดรอลิก",AM_Calendar!$F$7:$F$68,"D*")*J$5</f>
        <v>286</v>
      </c>
      <c r="K9" s="12" t="n">
        <f aca="false">SUMIFS(AM_Calendar!$G$7:$G$68,AM_Calendar!$B$7:$B$68,"ไฮดรอลิก",AM_Calendar!$F$7:$F$68,"D*")*K$5</f>
        <v>286</v>
      </c>
      <c r="L9" s="12" t="n">
        <f aca="false">SUMIFS(AM_Calendar!$G$7:$G$68,AM_Calendar!$B$7:$B$68,"ไฮดรอลิก",AM_Calendar!$F$7:$F$68,"D*")*L$5</f>
        <v>286</v>
      </c>
      <c r="M9" s="12" t="n">
        <f aca="false">SUMIFS(AM_Calendar!$G$7:$G$68,AM_Calendar!$B$7:$B$68,"ไฮดรอลิก",AM_Calendar!$F$7:$F$68,"D*")*M$5</f>
        <v>286</v>
      </c>
      <c r="N9" s="27" t="n">
        <f aca="false">SUM(B9:M9)</f>
        <v>3432</v>
      </c>
    </row>
    <row r="10" customFormat="false" ht="15" hidden="false" customHeight="false" outlineLevel="0" collapsed="false">
      <c r="A10" s="13" t="s">
        <v>299</v>
      </c>
      <c r="B10" s="12" t="n">
        <f aca="false">SUMIFS(AM_Calendar!$G$7:$G$68,AM_Calendar!$B$7:$B$68,"ไฮดรอลิก",AM_Calendar!$F$7:$F$68,"W*")*B$6</f>
        <v>56</v>
      </c>
      <c r="C10" s="12" t="n">
        <f aca="false">SUMIFS(AM_Calendar!$G$7:$G$68,AM_Calendar!$B$7:$B$68,"ไฮดรอลิก",AM_Calendar!$F$7:$F$68,"W*")*C$6</f>
        <v>56</v>
      </c>
      <c r="D10" s="12" t="n">
        <f aca="false">SUMIFS(AM_Calendar!$G$7:$G$68,AM_Calendar!$B$7:$B$68,"ไฮดรอลิก",AM_Calendar!$F$7:$F$68,"W*")*D$6</f>
        <v>56</v>
      </c>
      <c r="E10" s="12" t="n">
        <f aca="false">SUMIFS(AM_Calendar!$G$7:$G$68,AM_Calendar!$B$7:$B$68,"ไฮดรอลิก",AM_Calendar!$F$7:$F$68,"W*")*E$6</f>
        <v>56</v>
      </c>
      <c r="F10" s="12" t="n">
        <f aca="false">SUMIFS(AM_Calendar!$G$7:$G$68,AM_Calendar!$B$7:$B$68,"ไฮดรอลิก",AM_Calendar!$F$7:$F$68,"W*")*F$6</f>
        <v>56</v>
      </c>
      <c r="G10" s="12" t="n">
        <f aca="false">SUMIFS(AM_Calendar!$G$7:$G$68,AM_Calendar!$B$7:$B$68,"ไฮดรอลิก",AM_Calendar!$F$7:$F$68,"W*")*G$6</f>
        <v>56</v>
      </c>
      <c r="H10" s="12" t="n">
        <f aca="false">SUMIFS(AM_Calendar!$G$7:$G$68,AM_Calendar!$B$7:$B$68,"ไฮดรอลิก",AM_Calendar!$F$7:$F$68,"W*")*H$6</f>
        <v>56</v>
      </c>
      <c r="I10" s="12" t="n">
        <f aca="false">SUMIFS(AM_Calendar!$G$7:$G$68,AM_Calendar!$B$7:$B$68,"ไฮดรอลิก",AM_Calendar!$F$7:$F$68,"W*")*I$6</f>
        <v>56</v>
      </c>
      <c r="J10" s="12" t="n">
        <f aca="false">SUMIFS(AM_Calendar!$G$7:$G$68,AM_Calendar!$B$7:$B$68,"ไฮดรอลิก",AM_Calendar!$F$7:$F$68,"W*")*J$6</f>
        <v>56</v>
      </c>
      <c r="K10" s="12" t="n">
        <f aca="false">SUMIFS(AM_Calendar!$G$7:$G$68,AM_Calendar!$B$7:$B$68,"ไฮดรอลิก",AM_Calendar!$F$7:$F$68,"W*")*K$6</f>
        <v>56</v>
      </c>
      <c r="L10" s="12" t="n">
        <f aca="false">SUMIFS(AM_Calendar!$G$7:$G$68,AM_Calendar!$B$7:$B$68,"ไฮดรอลิก",AM_Calendar!$F$7:$F$68,"W*")*L$6</f>
        <v>56</v>
      </c>
      <c r="M10" s="12" t="n">
        <f aca="false">SUMIFS(AM_Calendar!$G$7:$G$68,AM_Calendar!$B$7:$B$68,"ไฮดรอลิก",AM_Calendar!$F$7:$F$68,"W*")*M$6</f>
        <v>56</v>
      </c>
      <c r="N10" s="27" t="n">
        <f aca="false">SUM(B10:M10)</f>
        <v>672</v>
      </c>
    </row>
    <row r="11" customFormat="false" ht="15" hidden="false" customHeight="false" outlineLevel="0" collapsed="false">
      <c r="A11" s="13" t="s">
        <v>300</v>
      </c>
      <c r="B11" s="12" t="n">
        <f aca="false">SUMIFS(AM_Calendar!$G$7:$G$68,AM_Calendar!$B$7:$B$68,"ไฮดรอลิก",AM_Calendar!$J$7:$J$68,"Q")+SUMIFS(AM_Calendar!$G$7:$G$68,AM_Calendar!$B$7:$B$68,"ไฮดรอลิก",AM_Calendar!$J$7:$J$68,"S")+SUMIFS(AM_Calendar!$G$7:$G$68,AM_Calendar!$B$7:$B$68,"ไฮดรอลิก",AM_Calendar!$J$7:$J$68,"A")</f>
        <v>0</v>
      </c>
      <c r="C11" s="12" t="n">
        <f aca="false">SUMIFS(AM_Calendar!$G$7:$G$68,AM_Calendar!$B$7:$B$68,"ไฮดรอลิก",AM_Calendar!$K$7:$K$68,"Q")+SUMIFS(AM_Calendar!$G$7:$G$68,AM_Calendar!$B$7:$B$68,"ไฮดรอลิก",AM_Calendar!$K$7:$K$68,"S")+SUMIFS(AM_Calendar!$G$7:$G$68,AM_Calendar!$B$7:$B$68,"ไฮดรอลิก",AM_Calendar!$K$7:$K$68,"A")</f>
        <v>0</v>
      </c>
      <c r="D11" s="12" t="n">
        <f aca="false">SUMIFS(AM_Calendar!$G$7:$G$68,AM_Calendar!$B$7:$B$68,"ไฮดรอลิก",AM_Calendar!$L$7:$L$68,"Q")+SUMIFS(AM_Calendar!$G$7:$G$68,AM_Calendar!$B$7:$B$68,"ไฮดรอลิก",AM_Calendar!$L$7:$L$68,"S")+SUMIFS(AM_Calendar!$G$7:$G$68,AM_Calendar!$B$7:$B$68,"ไฮดรอลิก",AM_Calendar!$L$7:$L$68,"A")</f>
        <v>0</v>
      </c>
      <c r="E11" s="12" t="n">
        <f aca="false">SUMIFS(AM_Calendar!$G$7:$G$68,AM_Calendar!$B$7:$B$68,"ไฮดรอลิก",AM_Calendar!$M$7:$M$68,"Q")+SUMIFS(AM_Calendar!$G$7:$G$68,AM_Calendar!$B$7:$B$68,"ไฮดรอลิก",AM_Calendar!$M$7:$M$68,"S")+SUMIFS(AM_Calendar!$G$7:$G$68,AM_Calendar!$B$7:$B$68,"ไฮดรอลิก",AM_Calendar!$M$7:$M$68,"A")</f>
        <v>0</v>
      </c>
      <c r="F11" s="12" t="n">
        <f aca="false">SUMIFS(AM_Calendar!$G$7:$G$68,AM_Calendar!$B$7:$B$68,"ไฮดรอลิก",AM_Calendar!$N$7:$N$68,"Q")+SUMIFS(AM_Calendar!$G$7:$G$68,AM_Calendar!$B$7:$B$68,"ไฮดรอลิก",AM_Calendar!$N$7:$N$68,"S")+SUMIFS(AM_Calendar!$G$7:$G$68,AM_Calendar!$B$7:$B$68,"ไฮดรอลิก",AM_Calendar!$N$7:$N$68,"A")</f>
        <v>0</v>
      </c>
      <c r="G11" s="12" t="n">
        <f aca="false">SUMIFS(AM_Calendar!$G$7:$G$68,AM_Calendar!$B$7:$B$68,"ไฮดรอลิก",AM_Calendar!$O$7:$O$68,"Q")+SUMIFS(AM_Calendar!$G$7:$G$68,AM_Calendar!$B$7:$B$68,"ไฮดรอลิก",AM_Calendar!$O$7:$O$68,"S")+SUMIFS(AM_Calendar!$G$7:$G$68,AM_Calendar!$B$7:$B$68,"ไฮดรอลิก",AM_Calendar!$O$7:$O$68,"A")</f>
        <v>7</v>
      </c>
      <c r="H11" s="12" t="n">
        <f aca="false">SUMIFS(AM_Calendar!$G$7:$G$68,AM_Calendar!$B$7:$B$68,"ไฮดรอลิก",AM_Calendar!$P$7:$P$68,"Q")+SUMIFS(AM_Calendar!$G$7:$G$68,AM_Calendar!$B$7:$B$68,"ไฮดรอลิก",AM_Calendar!$P$7:$P$68,"S")+SUMIFS(AM_Calendar!$G$7:$G$68,AM_Calendar!$B$7:$B$68,"ไฮดรอลิก",AM_Calendar!$P$7:$P$68,"A")</f>
        <v>0</v>
      </c>
      <c r="I11" s="12" t="n">
        <f aca="false">SUMIFS(AM_Calendar!$G$7:$G$68,AM_Calendar!$B$7:$B$68,"ไฮดรอลิก",AM_Calendar!$Q$7:$Q$68,"Q")+SUMIFS(AM_Calendar!$G$7:$G$68,AM_Calendar!$B$7:$B$68,"ไฮดรอลิก",AM_Calendar!$Q$7:$Q$68,"S")+SUMIFS(AM_Calendar!$G$7:$G$68,AM_Calendar!$B$7:$B$68,"ไฮดรอลิก",AM_Calendar!$Q$7:$Q$68,"A")</f>
        <v>0</v>
      </c>
      <c r="J11" s="12" t="n">
        <f aca="false">SUMIFS(AM_Calendar!$G$7:$G$68,AM_Calendar!$B$7:$B$68,"ไฮดรอลิก",AM_Calendar!$R$7:$R$68,"Q")+SUMIFS(AM_Calendar!$G$7:$G$68,AM_Calendar!$B$7:$B$68,"ไฮดรอลิก",AM_Calendar!$R$7:$R$68,"S")+SUMIFS(AM_Calendar!$G$7:$G$68,AM_Calendar!$B$7:$B$68,"ไฮดรอลิก",AM_Calendar!$R$7:$R$68,"A")</f>
        <v>0</v>
      </c>
      <c r="K11" s="12" t="n">
        <f aca="false">SUMIFS(AM_Calendar!$G$7:$G$68,AM_Calendar!$B$7:$B$68,"ไฮดรอลิก",AM_Calendar!$S$7:$S$68,"Q")+SUMIFS(AM_Calendar!$G$7:$G$68,AM_Calendar!$B$7:$B$68,"ไฮดรอลิก",AM_Calendar!$S$7:$S$68,"S")+SUMIFS(AM_Calendar!$G$7:$G$68,AM_Calendar!$B$7:$B$68,"ไฮดรอลิก",AM_Calendar!$S$7:$S$68,"A")</f>
        <v>0</v>
      </c>
      <c r="L11" s="12" t="n">
        <f aca="false">SUMIFS(AM_Calendar!$G$7:$G$68,AM_Calendar!$B$7:$B$68,"ไฮดรอลิก",AM_Calendar!$T$7:$T$68,"Q")+SUMIFS(AM_Calendar!$G$7:$G$68,AM_Calendar!$B$7:$B$68,"ไฮดรอลิก",AM_Calendar!$T$7:$T$68,"S")+SUMIFS(AM_Calendar!$G$7:$G$68,AM_Calendar!$B$7:$B$68,"ไฮดรอลิก",AM_Calendar!$T$7:$T$68,"A")</f>
        <v>0</v>
      </c>
      <c r="M11" s="12" t="n">
        <f aca="false">SUMIFS(AM_Calendar!$G$7:$G$68,AM_Calendar!$B$7:$B$68,"ไฮดรอลิก",AM_Calendar!$U$7:$U$68,"Q")+SUMIFS(AM_Calendar!$G$7:$G$68,AM_Calendar!$B$7:$B$68,"ไฮดรอลิก",AM_Calendar!$U$7:$U$68,"S")+SUMIFS(AM_Calendar!$G$7:$G$68,AM_Calendar!$B$7:$B$68,"ไฮดรอลิก",AM_Calendar!$U$7:$U$68,"A")</f>
        <v>27</v>
      </c>
      <c r="N11" s="27" t="n">
        <f aca="false">SUM(B11:M11)</f>
        <v>34</v>
      </c>
    </row>
    <row r="12" customFormat="false" ht="15" hidden="false" customHeight="false" outlineLevel="0" collapsed="false">
      <c r="A12" s="28" t="s">
        <v>301</v>
      </c>
      <c r="B12" s="29" t="n">
        <f aca="false">SUM(B9:B11)</f>
        <v>342</v>
      </c>
      <c r="C12" s="29" t="n">
        <f aca="false">SUM(C9:C11)</f>
        <v>342</v>
      </c>
      <c r="D12" s="29" t="n">
        <f aca="false">SUM(D9:D11)</f>
        <v>342</v>
      </c>
      <c r="E12" s="29" t="n">
        <f aca="false">SUM(E9:E11)</f>
        <v>342</v>
      </c>
      <c r="F12" s="29" t="n">
        <f aca="false">SUM(F9:F11)</f>
        <v>342</v>
      </c>
      <c r="G12" s="29" t="n">
        <f aca="false">SUM(G9:G11)</f>
        <v>349</v>
      </c>
      <c r="H12" s="29" t="n">
        <f aca="false">SUM(H9:H11)</f>
        <v>342</v>
      </c>
      <c r="I12" s="29" t="n">
        <f aca="false">SUM(I9:I11)</f>
        <v>342</v>
      </c>
      <c r="J12" s="29" t="n">
        <f aca="false">SUM(J9:J11)</f>
        <v>342</v>
      </c>
      <c r="K12" s="29" t="n">
        <f aca="false">SUM(K9:K11)</f>
        <v>342</v>
      </c>
      <c r="L12" s="29" t="n">
        <f aca="false">SUM(L9:L11)</f>
        <v>342</v>
      </c>
      <c r="M12" s="29" t="n">
        <f aca="false">SUM(M9:M11)</f>
        <v>369</v>
      </c>
      <c r="N12" s="30" t="n">
        <f aca="false">SUM(B12:M12)</f>
        <v>4138</v>
      </c>
    </row>
    <row r="14" customFormat="false" ht="21.75" hidden="false" customHeight="true" outlineLevel="0" collapsed="false">
      <c r="A14" s="10" t="s">
        <v>187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customFormat="false" ht="15" hidden="false" customHeight="false" outlineLevel="0" collapsed="false">
      <c r="A15" s="13" t="s">
        <v>298</v>
      </c>
      <c r="B15" s="12" t="n">
        <f aca="false">SUMIFS(AM_Calendar!$G$7:$G$68,AM_Calendar!$B$7:$B$68,"ระบบลม",AM_Calendar!$F$7:$F$68,"D*")*B$5</f>
        <v>169</v>
      </c>
      <c r="C15" s="12" t="n">
        <f aca="false">SUMIFS(AM_Calendar!$G$7:$G$68,AM_Calendar!$B$7:$B$68,"ระบบลม",AM_Calendar!$F$7:$F$68,"D*")*C$5</f>
        <v>169</v>
      </c>
      <c r="D15" s="12" t="n">
        <f aca="false">SUMIFS(AM_Calendar!$G$7:$G$68,AM_Calendar!$B$7:$B$68,"ระบบลม",AM_Calendar!$F$7:$F$68,"D*")*D$5</f>
        <v>169</v>
      </c>
      <c r="E15" s="12" t="n">
        <f aca="false">SUMIFS(AM_Calendar!$G$7:$G$68,AM_Calendar!$B$7:$B$68,"ระบบลม",AM_Calendar!$F$7:$F$68,"D*")*E$5</f>
        <v>169</v>
      </c>
      <c r="F15" s="12" t="n">
        <f aca="false">SUMIFS(AM_Calendar!$G$7:$G$68,AM_Calendar!$B$7:$B$68,"ระบบลม",AM_Calendar!$F$7:$F$68,"D*")*F$5</f>
        <v>169</v>
      </c>
      <c r="G15" s="12" t="n">
        <f aca="false">SUMIFS(AM_Calendar!$G$7:$G$68,AM_Calendar!$B$7:$B$68,"ระบบลม",AM_Calendar!$F$7:$F$68,"D*")*G$5</f>
        <v>169</v>
      </c>
      <c r="H15" s="12" t="n">
        <f aca="false">SUMIFS(AM_Calendar!$G$7:$G$68,AM_Calendar!$B$7:$B$68,"ระบบลม",AM_Calendar!$F$7:$F$68,"D*")*H$5</f>
        <v>169</v>
      </c>
      <c r="I15" s="12" t="n">
        <f aca="false">SUMIFS(AM_Calendar!$G$7:$G$68,AM_Calendar!$B$7:$B$68,"ระบบลม",AM_Calendar!$F$7:$F$68,"D*")*I$5</f>
        <v>169</v>
      </c>
      <c r="J15" s="12" t="n">
        <f aca="false">SUMIFS(AM_Calendar!$G$7:$G$68,AM_Calendar!$B$7:$B$68,"ระบบลม",AM_Calendar!$F$7:$F$68,"D*")*J$5</f>
        <v>169</v>
      </c>
      <c r="K15" s="12" t="n">
        <f aca="false">SUMIFS(AM_Calendar!$G$7:$G$68,AM_Calendar!$B$7:$B$68,"ระบบลม",AM_Calendar!$F$7:$F$68,"D*")*K$5</f>
        <v>169</v>
      </c>
      <c r="L15" s="12" t="n">
        <f aca="false">SUMIFS(AM_Calendar!$G$7:$G$68,AM_Calendar!$B$7:$B$68,"ระบบลม",AM_Calendar!$F$7:$F$68,"D*")*L$5</f>
        <v>169</v>
      </c>
      <c r="M15" s="12" t="n">
        <f aca="false">SUMIFS(AM_Calendar!$G$7:$G$68,AM_Calendar!$B$7:$B$68,"ระบบลม",AM_Calendar!$F$7:$F$68,"D*")*M$5</f>
        <v>169</v>
      </c>
      <c r="N15" s="27" t="n">
        <f aca="false">SUM(B15:M15)</f>
        <v>2028</v>
      </c>
    </row>
    <row r="16" customFormat="false" ht="15" hidden="false" customHeight="false" outlineLevel="0" collapsed="false">
      <c r="A16" s="13" t="s">
        <v>299</v>
      </c>
      <c r="B16" s="12" t="n">
        <f aca="false">SUMIFS(AM_Calendar!$G$7:$G$68,AM_Calendar!$B$7:$B$68,"ระบบลม",AM_Calendar!$F$7:$F$68,"W*")*B$6</f>
        <v>26</v>
      </c>
      <c r="C16" s="12" t="n">
        <f aca="false">SUMIFS(AM_Calendar!$G$7:$G$68,AM_Calendar!$B$7:$B$68,"ระบบลม",AM_Calendar!$F$7:$F$68,"W*")*C$6</f>
        <v>26</v>
      </c>
      <c r="D16" s="12" t="n">
        <f aca="false">SUMIFS(AM_Calendar!$G$7:$G$68,AM_Calendar!$B$7:$B$68,"ระบบลม",AM_Calendar!$F$7:$F$68,"W*")*D$6</f>
        <v>26</v>
      </c>
      <c r="E16" s="12" t="n">
        <f aca="false">SUMIFS(AM_Calendar!$G$7:$G$68,AM_Calendar!$B$7:$B$68,"ระบบลม",AM_Calendar!$F$7:$F$68,"W*")*E$6</f>
        <v>26</v>
      </c>
      <c r="F16" s="12" t="n">
        <f aca="false">SUMIFS(AM_Calendar!$G$7:$G$68,AM_Calendar!$B$7:$B$68,"ระบบลม",AM_Calendar!$F$7:$F$68,"W*")*F$6</f>
        <v>26</v>
      </c>
      <c r="G16" s="12" t="n">
        <f aca="false">SUMIFS(AM_Calendar!$G$7:$G$68,AM_Calendar!$B$7:$B$68,"ระบบลม",AM_Calendar!$F$7:$F$68,"W*")*G$6</f>
        <v>26</v>
      </c>
      <c r="H16" s="12" t="n">
        <f aca="false">SUMIFS(AM_Calendar!$G$7:$G$68,AM_Calendar!$B$7:$B$68,"ระบบลม",AM_Calendar!$F$7:$F$68,"W*")*H$6</f>
        <v>26</v>
      </c>
      <c r="I16" s="12" t="n">
        <f aca="false">SUMIFS(AM_Calendar!$G$7:$G$68,AM_Calendar!$B$7:$B$68,"ระบบลม",AM_Calendar!$F$7:$F$68,"W*")*I$6</f>
        <v>26</v>
      </c>
      <c r="J16" s="12" t="n">
        <f aca="false">SUMIFS(AM_Calendar!$G$7:$G$68,AM_Calendar!$B$7:$B$68,"ระบบลม",AM_Calendar!$F$7:$F$68,"W*")*J$6</f>
        <v>26</v>
      </c>
      <c r="K16" s="12" t="n">
        <f aca="false">SUMIFS(AM_Calendar!$G$7:$G$68,AM_Calendar!$B$7:$B$68,"ระบบลม",AM_Calendar!$F$7:$F$68,"W*")*K$6</f>
        <v>26</v>
      </c>
      <c r="L16" s="12" t="n">
        <f aca="false">SUMIFS(AM_Calendar!$G$7:$G$68,AM_Calendar!$B$7:$B$68,"ระบบลม",AM_Calendar!$F$7:$F$68,"W*")*L$6</f>
        <v>26</v>
      </c>
      <c r="M16" s="12" t="n">
        <f aca="false">SUMIFS(AM_Calendar!$G$7:$G$68,AM_Calendar!$B$7:$B$68,"ระบบลม",AM_Calendar!$F$7:$F$68,"W*")*M$6</f>
        <v>26</v>
      </c>
      <c r="N16" s="27" t="n">
        <f aca="false">SUM(B16:M16)</f>
        <v>312</v>
      </c>
    </row>
    <row r="17" customFormat="false" ht="15" hidden="false" customHeight="false" outlineLevel="0" collapsed="false">
      <c r="A17" s="13" t="s">
        <v>300</v>
      </c>
      <c r="B17" s="12" t="n">
        <f aca="false">SUMIFS(AM_Calendar!$G$7:$G$68,AM_Calendar!$B$7:$B$68,"ระบบลม",AM_Calendar!$J$7:$J$68,"Q")+SUMIFS(AM_Calendar!$G$7:$G$68,AM_Calendar!$B$7:$B$68,"ระบบลม",AM_Calendar!$J$7:$J$68,"S")+SUMIFS(AM_Calendar!$G$7:$G$68,AM_Calendar!$B$7:$B$68,"ระบบลม",AM_Calendar!$J$7:$J$68,"A")</f>
        <v>24</v>
      </c>
      <c r="C17" s="12" t="n">
        <f aca="false">SUMIFS(AM_Calendar!$G$7:$G$68,AM_Calendar!$B$7:$B$68,"ระบบลม",AM_Calendar!$K$7:$K$68,"Q")+SUMIFS(AM_Calendar!$G$7:$G$68,AM_Calendar!$B$7:$B$68,"ระบบลม",AM_Calendar!$K$7:$K$68,"S")+SUMIFS(AM_Calendar!$G$7:$G$68,AM_Calendar!$B$7:$B$68,"ระบบลม",AM_Calendar!$K$7:$K$68,"A")</f>
        <v>0</v>
      </c>
      <c r="D17" s="12" t="n">
        <f aca="false">SUMIFS(AM_Calendar!$G$7:$G$68,AM_Calendar!$B$7:$B$68,"ระบบลม",AM_Calendar!$L$7:$L$68,"Q")+SUMIFS(AM_Calendar!$G$7:$G$68,AM_Calendar!$B$7:$B$68,"ระบบลม",AM_Calendar!$L$7:$L$68,"S")+SUMIFS(AM_Calendar!$G$7:$G$68,AM_Calendar!$B$7:$B$68,"ระบบลม",AM_Calendar!$L$7:$L$68,"A")</f>
        <v>0</v>
      </c>
      <c r="E17" s="12" t="n">
        <f aca="false">SUMIFS(AM_Calendar!$G$7:$G$68,AM_Calendar!$B$7:$B$68,"ระบบลม",AM_Calendar!$M$7:$M$68,"Q")+SUMIFS(AM_Calendar!$G$7:$G$68,AM_Calendar!$B$7:$B$68,"ระบบลม",AM_Calendar!$M$7:$M$68,"S")+SUMIFS(AM_Calendar!$G$7:$G$68,AM_Calendar!$B$7:$B$68,"ระบบลม",AM_Calendar!$M$7:$M$68,"A")</f>
        <v>24</v>
      </c>
      <c r="F17" s="12" t="n">
        <f aca="false">SUMIFS(AM_Calendar!$G$7:$G$68,AM_Calendar!$B$7:$B$68,"ระบบลม",AM_Calendar!$N$7:$N$68,"Q")+SUMIFS(AM_Calendar!$G$7:$G$68,AM_Calendar!$B$7:$B$68,"ระบบลม",AM_Calendar!$N$7:$N$68,"S")+SUMIFS(AM_Calendar!$G$7:$G$68,AM_Calendar!$B$7:$B$68,"ระบบลม",AM_Calendar!$N$7:$N$68,"A")</f>
        <v>0</v>
      </c>
      <c r="G17" s="12" t="n">
        <f aca="false">SUMIFS(AM_Calendar!$G$7:$G$68,AM_Calendar!$B$7:$B$68,"ระบบลม",AM_Calendar!$O$7:$O$68,"Q")+SUMIFS(AM_Calendar!$G$7:$G$68,AM_Calendar!$B$7:$B$68,"ระบบลม",AM_Calendar!$O$7:$O$68,"S")+SUMIFS(AM_Calendar!$G$7:$G$68,AM_Calendar!$B$7:$B$68,"ระบบลม",AM_Calendar!$O$7:$O$68,"A")</f>
        <v>0</v>
      </c>
      <c r="H17" s="12" t="n">
        <f aca="false">SUMIFS(AM_Calendar!$G$7:$G$68,AM_Calendar!$B$7:$B$68,"ระบบลม",AM_Calendar!$P$7:$P$68,"Q")+SUMIFS(AM_Calendar!$G$7:$G$68,AM_Calendar!$B$7:$B$68,"ระบบลม",AM_Calendar!$P$7:$P$68,"S")+SUMIFS(AM_Calendar!$G$7:$G$68,AM_Calendar!$B$7:$B$68,"ระบบลม",AM_Calendar!$P$7:$P$68,"A")</f>
        <v>134</v>
      </c>
      <c r="I17" s="12" t="n">
        <f aca="false">SUMIFS(AM_Calendar!$G$7:$G$68,AM_Calendar!$B$7:$B$68,"ระบบลม",AM_Calendar!$Q$7:$Q$68,"Q")+SUMIFS(AM_Calendar!$G$7:$G$68,AM_Calendar!$B$7:$B$68,"ระบบลม",AM_Calendar!$Q$7:$Q$68,"S")+SUMIFS(AM_Calendar!$G$7:$G$68,AM_Calendar!$B$7:$B$68,"ระบบลม",AM_Calendar!$Q$7:$Q$68,"A")</f>
        <v>0</v>
      </c>
      <c r="J17" s="12" t="n">
        <f aca="false">SUMIFS(AM_Calendar!$G$7:$G$68,AM_Calendar!$B$7:$B$68,"ระบบลม",AM_Calendar!$R$7:$R$68,"Q")+SUMIFS(AM_Calendar!$G$7:$G$68,AM_Calendar!$B$7:$B$68,"ระบบลม",AM_Calendar!$R$7:$R$68,"S")+SUMIFS(AM_Calendar!$G$7:$G$68,AM_Calendar!$B$7:$B$68,"ระบบลม",AM_Calendar!$R$7:$R$68,"A")</f>
        <v>0</v>
      </c>
      <c r="K17" s="12" t="n">
        <f aca="false">SUMIFS(AM_Calendar!$G$7:$G$68,AM_Calendar!$B$7:$B$68,"ระบบลม",AM_Calendar!$S$7:$S$68,"Q")+SUMIFS(AM_Calendar!$G$7:$G$68,AM_Calendar!$B$7:$B$68,"ระบบลม",AM_Calendar!$S$7:$S$68,"S")+SUMIFS(AM_Calendar!$G$7:$G$68,AM_Calendar!$B$7:$B$68,"ระบบลม",AM_Calendar!$S$7:$S$68,"A")</f>
        <v>24</v>
      </c>
      <c r="L17" s="12" t="n">
        <f aca="false">SUMIFS(AM_Calendar!$G$7:$G$68,AM_Calendar!$B$7:$B$68,"ระบบลม",AM_Calendar!$T$7:$T$68,"Q")+SUMIFS(AM_Calendar!$G$7:$G$68,AM_Calendar!$B$7:$B$68,"ระบบลม",AM_Calendar!$T$7:$T$68,"S")+SUMIFS(AM_Calendar!$G$7:$G$68,AM_Calendar!$B$7:$B$68,"ระบบลม",AM_Calendar!$T$7:$T$68,"A")</f>
        <v>0</v>
      </c>
      <c r="M17" s="12" t="n">
        <f aca="false">SUMIFS(AM_Calendar!$G$7:$G$68,AM_Calendar!$B$7:$B$68,"ระบบลม",AM_Calendar!$U$7:$U$68,"Q")+SUMIFS(AM_Calendar!$G$7:$G$68,AM_Calendar!$B$7:$B$68,"ระบบลม",AM_Calendar!$U$7:$U$68,"S")+SUMIFS(AM_Calendar!$G$7:$G$68,AM_Calendar!$B$7:$B$68,"ระบบลม",AM_Calendar!$U$7:$U$68,"A")</f>
        <v>0</v>
      </c>
      <c r="N17" s="27" t="n">
        <f aca="false">SUM(B17:M17)</f>
        <v>206</v>
      </c>
    </row>
    <row r="18" customFormat="false" ht="15" hidden="false" customHeight="false" outlineLevel="0" collapsed="false">
      <c r="A18" s="28" t="s">
        <v>302</v>
      </c>
      <c r="B18" s="29" t="n">
        <f aca="false">SUM(B15:B17)</f>
        <v>219</v>
      </c>
      <c r="C18" s="29" t="n">
        <f aca="false">SUM(C15:C17)</f>
        <v>195</v>
      </c>
      <c r="D18" s="29" t="n">
        <f aca="false">SUM(D15:D17)</f>
        <v>195</v>
      </c>
      <c r="E18" s="29" t="n">
        <f aca="false">SUM(E15:E17)</f>
        <v>219</v>
      </c>
      <c r="F18" s="29" t="n">
        <f aca="false">SUM(F15:F17)</f>
        <v>195</v>
      </c>
      <c r="G18" s="29" t="n">
        <f aca="false">SUM(G15:G17)</f>
        <v>195</v>
      </c>
      <c r="H18" s="29" t="n">
        <f aca="false">SUM(H15:H17)</f>
        <v>329</v>
      </c>
      <c r="I18" s="29" t="n">
        <f aca="false">SUM(I15:I17)</f>
        <v>195</v>
      </c>
      <c r="J18" s="29" t="n">
        <f aca="false">SUM(J15:J17)</f>
        <v>195</v>
      </c>
      <c r="K18" s="29" t="n">
        <f aca="false">SUM(K15:K17)</f>
        <v>219</v>
      </c>
      <c r="L18" s="29" t="n">
        <f aca="false">SUM(L15:L17)</f>
        <v>195</v>
      </c>
      <c r="M18" s="29" t="n">
        <f aca="false">SUM(M15:M17)</f>
        <v>195</v>
      </c>
      <c r="N18" s="30" t="n">
        <f aca="false">SUM(B18:M18)</f>
        <v>2546</v>
      </c>
    </row>
    <row r="20" customFormat="false" ht="15" hidden="false" customHeight="false" outlineLevel="0" collapsed="false">
      <c r="A20" s="31" t="s">
        <v>303</v>
      </c>
      <c r="B20" s="32" t="n">
        <f aca="false">B12+B18</f>
        <v>561</v>
      </c>
      <c r="C20" s="32" t="n">
        <f aca="false">C12+C18</f>
        <v>537</v>
      </c>
      <c r="D20" s="32" t="n">
        <f aca="false">D12+D18</f>
        <v>537</v>
      </c>
      <c r="E20" s="32" t="n">
        <f aca="false">E12+E18</f>
        <v>561</v>
      </c>
      <c r="F20" s="32" t="n">
        <f aca="false">F12+F18</f>
        <v>537</v>
      </c>
      <c r="G20" s="32" t="n">
        <f aca="false">G12+G18</f>
        <v>544</v>
      </c>
      <c r="H20" s="32" t="n">
        <f aca="false">H12+H18</f>
        <v>671</v>
      </c>
      <c r="I20" s="32" t="n">
        <f aca="false">I12+I18</f>
        <v>537</v>
      </c>
      <c r="J20" s="32" t="n">
        <f aca="false">J12+J18</f>
        <v>537</v>
      </c>
      <c r="K20" s="32" t="n">
        <f aca="false">K12+K18</f>
        <v>561</v>
      </c>
      <c r="L20" s="32" t="n">
        <f aca="false">L12+L18</f>
        <v>537</v>
      </c>
      <c r="M20" s="32" t="n">
        <f aca="false">M12+M18</f>
        <v>564</v>
      </c>
      <c r="N20" s="30" t="n">
        <f aca="false">SUM(B20:M20)</f>
        <v>6684</v>
      </c>
    </row>
    <row r="21" customFormat="false" ht="15" hidden="false" customHeight="false" outlineLevel="0" collapsed="false">
      <c r="A21" s="25" t="s">
        <v>304</v>
      </c>
      <c r="B21" s="12" t="n">
        <f aca="false">SUMIFS(AM_Calendar!$G$7:$G$68,AM_Calendar!$B$7:$B$68,"ไฮดรอลิก",AM_Calendar!$J$7:$J$68,"Q",AM_Calendar!$I$7:$I$68,"PM*")+SUMIFS(AM_Calendar!$G$7:$G$68,AM_Calendar!$B$7:$B$68,"ไฮดรอลิก",AM_Calendar!$J$7:$J$68,"S",AM_Calendar!$I$7:$I$68,"PM*")+SUMIFS(AM_Calendar!$G$7:$G$68,AM_Calendar!$B$7:$B$68,"ไฮดรอลิก",AM_Calendar!$J$7:$J$68,"A",AM_Calendar!$I$7:$I$68,"PM*")+SUMIFS(AM_Calendar!$G$7:$G$68,AM_Calendar!$B$7:$B$68,"ระบบลม",AM_Calendar!$J$7:$J$68,"Q",AM_Calendar!$I$7:$I$68,"PM*")+SUMIFS(AM_Calendar!$G$7:$G$68,AM_Calendar!$B$7:$B$68,"ระบบลม",AM_Calendar!$J$7:$J$68,"S",AM_Calendar!$I$7:$I$68,"PM*")+SUMIFS(AM_Calendar!$G$7:$G$68,AM_Calendar!$B$7:$B$68,"ระบบลม",AM_Calendar!$J$7:$J$68,"A",AM_Calendar!$I$7:$I$68,"PM*")</f>
        <v>0</v>
      </c>
      <c r="C21" s="12" t="n">
        <f aca="false">SUMIFS(AM_Calendar!$G$7:$G$68,AM_Calendar!$B$7:$B$68,"ไฮดรอลิก",AM_Calendar!$K$7:$K$68,"Q",AM_Calendar!$I$7:$I$68,"PM*")+SUMIFS(AM_Calendar!$G$7:$G$68,AM_Calendar!$B$7:$B$68,"ไฮดรอลิก",AM_Calendar!$K$7:$K$68,"S",AM_Calendar!$I$7:$I$68,"PM*")+SUMIFS(AM_Calendar!$G$7:$G$68,AM_Calendar!$B$7:$B$68,"ไฮดรอลิก",AM_Calendar!$K$7:$K$68,"A",AM_Calendar!$I$7:$I$68,"PM*")+SUMIFS(AM_Calendar!$G$7:$G$68,AM_Calendar!$B$7:$B$68,"ระบบลม",AM_Calendar!$K$7:$K$68,"Q",AM_Calendar!$I$7:$I$68,"PM*")+SUMIFS(AM_Calendar!$G$7:$G$68,AM_Calendar!$B$7:$B$68,"ระบบลม",AM_Calendar!$K$7:$K$68,"S",AM_Calendar!$I$7:$I$68,"PM*")+SUMIFS(AM_Calendar!$G$7:$G$68,AM_Calendar!$B$7:$B$68,"ระบบลม",AM_Calendar!$K$7:$K$68,"A",AM_Calendar!$I$7:$I$68,"PM*")</f>
        <v>0</v>
      </c>
      <c r="D21" s="12" t="n">
        <f aca="false">SUMIFS(AM_Calendar!$G$7:$G$68,AM_Calendar!$B$7:$B$68,"ไฮดรอลิก",AM_Calendar!$L$7:$L$68,"Q",AM_Calendar!$I$7:$I$68,"PM*")+SUMIFS(AM_Calendar!$G$7:$G$68,AM_Calendar!$B$7:$B$68,"ไฮดรอลิก",AM_Calendar!$L$7:$L$68,"S",AM_Calendar!$I$7:$I$68,"PM*")+SUMIFS(AM_Calendar!$G$7:$G$68,AM_Calendar!$B$7:$B$68,"ไฮดรอลิก",AM_Calendar!$L$7:$L$68,"A",AM_Calendar!$I$7:$I$68,"PM*")+SUMIFS(AM_Calendar!$G$7:$G$68,AM_Calendar!$B$7:$B$68,"ระบบลม",AM_Calendar!$L$7:$L$68,"Q",AM_Calendar!$I$7:$I$68,"PM*")+SUMIFS(AM_Calendar!$G$7:$G$68,AM_Calendar!$B$7:$B$68,"ระบบลม",AM_Calendar!$L$7:$L$68,"S",AM_Calendar!$I$7:$I$68,"PM*")+SUMIFS(AM_Calendar!$G$7:$G$68,AM_Calendar!$B$7:$B$68,"ระบบลม",AM_Calendar!$L$7:$L$68,"A",AM_Calendar!$I$7:$I$68,"PM*")</f>
        <v>0</v>
      </c>
      <c r="E21" s="12" t="n">
        <f aca="false">SUMIFS(AM_Calendar!$G$7:$G$68,AM_Calendar!$B$7:$B$68,"ไฮดรอลิก",AM_Calendar!$M$7:$M$68,"Q",AM_Calendar!$I$7:$I$68,"PM*")+SUMIFS(AM_Calendar!$G$7:$G$68,AM_Calendar!$B$7:$B$68,"ไฮดรอลิก",AM_Calendar!$M$7:$M$68,"S",AM_Calendar!$I$7:$I$68,"PM*")+SUMIFS(AM_Calendar!$G$7:$G$68,AM_Calendar!$B$7:$B$68,"ไฮดรอลิก",AM_Calendar!$M$7:$M$68,"A",AM_Calendar!$I$7:$I$68,"PM*")+SUMIFS(AM_Calendar!$G$7:$G$68,AM_Calendar!$B$7:$B$68,"ระบบลม",AM_Calendar!$M$7:$M$68,"Q",AM_Calendar!$I$7:$I$68,"PM*")+SUMIFS(AM_Calendar!$G$7:$G$68,AM_Calendar!$B$7:$B$68,"ระบบลม",AM_Calendar!$M$7:$M$68,"S",AM_Calendar!$I$7:$I$68,"PM*")+SUMIFS(AM_Calendar!$G$7:$G$68,AM_Calendar!$B$7:$B$68,"ระบบลม",AM_Calendar!$M$7:$M$68,"A",AM_Calendar!$I$7:$I$68,"PM*")</f>
        <v>0</v>
      </c>
      <c r="F21" s="12" t="n">
        <f aca="false">SUMIFS(AM_Calendar!$G$7:$G$68,AM_Calendar!$B$7:$B$68,"ไฮดรอลิก",AM_Calendar!$N$7:$N$68,"Q",AM_Calendar!$I$7:$I$68,"PM*")+SUMIFS(AM_Calendar!$G$7:$G$68,AM_Calendar!$B$7:$B$68,"ไฮดรอลิก",AM_Calendar!$N$7:$N$68,"S",AM_Calendar!$I$7:$I$68,"PM*")+SUMIFS(AM_Calendar!$G$7:$G$68,AM_Calendar!$B$7:$B$68,"ไฮดรอลิก",AM_Calendar!$N$7:$N$68,"A",AM_Calendar!$I$7:$I$68,"PM*")+SUMIFS(AM_Calendar!$G$7:$G$68,AM_Calendar!$B$7:$B$68,"ระบบลม",AM_Calendar!$N$7:$N$68,"Q",AM_Calendar!$I$7:$I$68,"PM*")+SUMIFS(AM_Calendar!$G$7:$G$68,AM_Calendar!$B$7:$B$68,"ระบบลม",AM_Calendar!$N$7:$N$68,"S",AM_Calendar!$I$7:$I$68,"PM*")+SUMIFS(AM_Calendar!$G$7:$G$68,AM_Calendar!$B$7:$B$68,"ระบบลม",AM_Calendar!$N$7:$N$68,"A",AM_Calendar!$I$7:$I$68,"PM*")</f>
        <v>0</v>
      </c>
      <c r="G21" s="12" t="n">
        <f aca="false">SUMIFS(AM_Calendar!$G$7:$G$68,AM_Calendar!$B$7:$B$68,"ไฮดรอลิก",AM_Calendar!$O$7:$O$68,"Q",AM_Calendar!$I$7:$I$68,"PM*")+SUMIFS(AM_Calendar!$G$7:$G$68,AM_Calendar!$B$7:$B$68,"ไฮดรอลิก",AM_Calendar!$O$7:$O$68,"S",AM_Calendar!$I$7:$I$68,"PM*")+SUMIFS(AM_Calendar!$G$7:$G$68,AM_Calendar!$B$7:$B$68,"ไฮดรอลิก",AM_Calendar!$O$7:$O$68,"A",AM_Calendar!$I$7:$I$68,"PM*")+SUMIFS(AM_Calendar!$G$7:$G$68,AM_Calendar!$B$7:$B$68,"ระบบลม",AM_Calendar!$O$7:$O$68,"Q",AM_Calendar!$I$7:$I$68,"PM*")+SUMIFS(AM_Calendar!$G$7:$G$68,AM_Calendar!$B$7:$B$68,"ระบบลม",AM_Calendar!$O$7:$O$68,"S",AM_Calendar!$I$7:$I$68,"PM*")+SUMIFS(AM_Calendar!$G$7:$G$68,AM_Calendar!$B$7:$B$68,"ระบบลม",AM_Calendar!$O$7:$O$68,"A",AM_Calendar!$I$7:$I$68,"PM*")</f>
        <v>0</v>
      </c>
      <c r="H21" s="12" t="n">
        <f aca="false">SUMIFS(AM_Calendar!$G$7:$G$68,AM_Calendar!$B$7:$B$68,"ไฮดรอลิก",AM_Calendar!$P$7:$P$68,"Q",AM_Calendar!$I$7:$I$68,"PM*")+SUMIFS(AM_Calendar!$G$7:$G$68,AM_Calendar!$B$7:$B$68,"ไฮดรอลิก",AM_Calendar!$P$7:$P$68,"S",AM_Calendar!$I$7:$I$68,"PM*")+SUMIFS(AM_Calendar!$G$7:$G$68,AM_Calendar!$B$7:$B$68,"ไฮดรอลิก",AM_Calendar!$P$7:$P$68,"A",AM_Calendar!$I$7:$I$68,"PM*")+SUMIFS(AM_Calendar!$G$7:$G$68,AM_Calendar!$B$7:$B$68,"ระบบลม",AM_Calendar!$P$7:$P$68,"Q",AM_Calendar!$I$7:$I$68,"PM*")+SUMIFS(AM_Calendar!$G$7:$G$68,AM_Calendar!$B$7:$B$68,"ระบบลม",AM_Calendar!$P$7:$P$68,"S",AM_Calendar!$I$7:$I$68,"PM*")+SUMIFS(AM_Calendar!$G$7:$G$68,AM_Calendar!$B$7:$B$68,"ระบบลม",AM_Calendar!$P$7:$P$68,"A",AM_Calendar!$I$7:$I$68,"PM*")</f>
        <v>110</v>
      </c>
      <c r="I21" s="12" t="n">
        <f aca="false">SUMIFS(AM_Calendar!$G$7:$G$68,AM_Calendar!$B$7:$B$68,"ไฮดรอลิก",AM_Calendar!$Q$7:$Q$68,"Q",AM_Calendar!$I$7:$I$68,"PM*")+SUMIFS(AM_Calendar!$G$7:$G$68,AM_Calendar!$B$7:$B$68,"ไฮดรอลิก",AM_Calendar!$Q$7:$Q$68,"S",AM_Calendar!$I$7:$I$68,"PM*")+SUMIFS(AM_Calendar!$G$7:$G$68,AM_Calendar!$B$7:$B$68,"ไฮดรอลิก",AM_Calendar!$Q$7:$Q$68,"A",AM_Calendar!$I$7:$I$68,"PM*")+SUMIFS(AM_Calendar!$G$7:$G$68,AM_Calendar!$B$7:$B$68,"ระบบลม",AM_Calendar!$Q$7:$Q$68,"Q",AM_Calendar!$I$7:$I$68,"PM*")+SUMIFS(AM_Calendar!$G$7:$G$68,AM_Calendar!$B$7:$B$68,"ระบบลม",AM_Calendar!$Q$7:$Q$68,"S",AM_Calendar!$I$7:$I$68,"PM*")+SUMIFS(AM_Calendar!$G$7:$G$68,AM_Calendar!$B$7:$B$68,"ระบบลม",AM_Calendar!$Q$7:$Q$68,"A",AM_Calendar!$I$7:$I$68,"PM*")</f>
        <v>0</v>
      </c>
      <c r="J21" s="12" t="n">
        <f aca="false">SUMIFS(AM_Calendar!$G$7:$G$68,AM_Calendar!$B$7:$B$68,"ไฮดรอลิก",AM_Calendar!$R$7:$R$68,"Q",AM_Calendar!$I$7:$I$68,"PM*")+SUMIFS(AM_Calendar!$G$7:$G$68,AM_Calendar!$B$7:$B$68,"ไฮดรอลิก",AM_Calendar!$R$7:$R$68,"S",AM_Calendar!$I$7:$I$68,"PM*")+SUMIFS(AM_Calendar!$G$7:$G$68,AM_Calendar!$B$7:$B$68,"ไฮดรอลิก",AM_Calendar!$R$7:$R$68,"A",AM_Calendar!$I$7:$I$68,"PM*")+SUMIFS(AM_Calendar!$G$7:$G$68,AM_Calendar!$B$7:$B$68,"ระบบลม",AM_Calendar!$R$7:$R$68,"Q",AM_Calendar!$I$7:$I$68,"PM*")+SUMIFS(AM_Calendar!$G$7:$G$68,AM_Calendar!$B$7:$B$68,"ระบบลม",AM_Calendar!$R$7:$R$68,"S",AM_Calendar!$I$7:$I$68,"PM*")+SUMIFS(AM_Calendar!$G$7:$G$68,AM_Calendar!$B$7:$B$68,"ระบบลม",AM_Calendar!$R$7:$R$68,"A",AM_Calendar!$I$7:$I$68,"PM*")</f>
        <v>0</v>
      </c>
      <c r="K21" s="12" t="n">
        <f aca="false">SUMIFS(AM_Calendar!$G$7:$G$68,AM_Calendar!$B$7:$B$68,"ไฮดรอลิก",AM_Calendar!$S$7:$S$68,"Q",AM_Calendar!$I$7:$I$68,"PM*")+SUMIFS(AM_Calendar!$G$7:$G$68,AM_Calendar!$B$7:$B$68,"ไฮดรอลิก",AM_Calendar!$S$7:$S$68,"S",AM_Calendar!$I$7:$I$68,"PM*")+SUMIFS(AM_Calendar!$G$7:$G$68,AM_Calendar!$B$7:$B$68,"ไฮดรอลิก",AM_Calendar!$S$7:$S$68,"A",AM_Calendar!$I$7:$I$68,"PM*")+SUMIFS(AM_Calendar!$G$7:$G$68,AM_Calendar!$B$7:$B$68,"ระบบลม",AM_Calendar!$S$7:$S$68,"Q",AM_Calendar!$I$7:$I$68,"PM*")+SUMIFS(AM_Calendar!$G$7:$G$68,AM_Calendar!$B$7:$B$68,"ระบบลม",AM_Calendar!$S$7:$S$68,"S",AM_Calendar!$I$7:$I$68,"PM*")+SUMIFS(AM_Calendar!$G$7:$G$68,AM_Calendar!$B$7:$B$68,"ระบบลม",AM_Calendar!$S$7:$S$68,"A",AM_Calendar!$I$7:$I$68,"PM*")</f>
        <v>0</v>
      </c>
      <c r="L21" s="12" t="n">
        <f aca="false">SUMIFS(AM_Calendar!$G$7:$G$68,AM_Calendar!$B$7:$B$68,"ไฮดรอลิก",AM_Calendar!$T$7:$T$68,"Q",AM_Calendar!$I$7:$I$68,"PM*")+SUMIFS(AM_Calendar!$G$7:$G$68,AM_Calendar!$B$7:$B$68,"ไฮดรอลิก",AM_Calendar!$T$7:$T$68,"S",AM_Calendar!$I$7:$I$68,"PM*")+SUMIFS(AM_Calendar!$G$7:$G$68,AM_Calendar!$B$7:$B$68,"ไฮดรอลิก",AM_Calendar!$T$7:$T$68,"A",AM_Calendar!$I$7:$I$68,"PM*")+SUMIFS(AM_Calendar!$G$7:$G$68,AM_Calendar!$B$7:$B$68,"ระบบลม",AM_Calendar!$T$7:$T$68,"Q",AM_Calendar!$I$7:$I$68,"PM*")+SUMIFS(AM_Calendar!$G$7:$G$68,AM_Calendar!$B$7:$B$68,"ระบบลม",AM_Calendar!$T$7:$T$68,"S",AM_Calendar!$I$7:$I$68,"PM*")+SUMIFS(AM_Calendar!$G$7:$G$68,AM_Calendar!$B$7:$B$68,"ระบบลม",AM_Calendar!$T$7:$T$68,"A",AM_Calendar!$I$7:$I$68,"PM*")</f>
        <v>0</v>
      </c>
      <c r="M21" s="12" t="n">
        <f aca="false">SUMIFS(AM_Calendar!$G$7:$G$68,AM_Calendar!$B$7:$B$68,"ไฮดรอลิก",AM_Calendar!$U$7:$U$68,"Q",AM_Calendar!$I$7:$I$68,"PM*")+SUMIFS(AM_Calendar!$G$7:$G$68,AM_Calendar!$B$7:$B$68,"ไฮดรอลิก",AM_Calendar!$U$7:$U$68,"S",AM_Calendar!$I$7:$I$68,"PM*")+SUMIFS(AM_Calendar!$G$7:$G$68,AM_Calendar!$B$7:$B$68,"ไฮดรอลิก",AM_Calendar!$U$7:$U$68,"A",AM_Calendar!$I$7:$I$68,"PM*")+SUMIFS(AM_Calendar!$G$7:$G$68,AM_Calendar!$B$7:$B$68,"ระบบลม",AM_Calendar!$U$7:$U$68,"Q",AM_Calendar!$I$7:$I$68,"PM*")+SUMIFS(AM_Calendar!$G$7:$G$68,AM_Calendar!$B$7:$B$68,"ระบบลม",AM_Calendar!$U$7:$U$68,"S",AM_Calendar!$I$7:$I$68,"PM*")+SUMIFS(AM_Calendar!$G$7:$G$68,AM_Calendar!$B$7:$B$68,"ระบบลม",AM_Calendar!$U$7:$U$68,"A",AM_Calendar!$I$7:$I$68,"PM*")</f>
        <v>20</v>
      </c>
      <c r="N21" s="30" t="n">
        <f aca="false">SUM(B21:M21)</f>
        <v>130</v>
      </c>
    </row>
    <row r="23" customFormat="false" ht="15" hidden="false" customHeight="false" outlineLevel="0" collapsed="false">
      <c r="A23" s="25" t="s">
        <v>305</v>
      </c>
      <c r="B23" s="33" t="str">
        <f aca="false">INDEX($B$4:$M$4,MATCH(MAX(B20:M20),B20:M20,0))&amp;" · "&amp;MAX(B20:M20)&amp;" นาที"</f>
        <v>ก.ค. · 671 นาที</v>
      </c>
      <c r="C23" s="33"/>
      <c r="D23" s="33"/>
    </row>
    <row r="25" customFormat="false" ht="14.9" hidden="false" customHeight="false" outlineLevel="0" collapsed="false">
      <c r="A25" s="34" t="s">
        <v>306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</row>
    <row r="26" customFormat="false" ht="15" hidden="false" customHeight="false" outlineLevel="0" collapsed="false">
      <c r="A26" s="25" t="s">
        <v>307</v>
      </c>
      <c r="B26" s="30" t="n">
        <f aca="false">SUMIFS(AM_Calendar!$G$7:$G$68,AM_Calendar!$B$7:$B$68,"ไฮดรอลิก",AM_Calendar!$F$7:$F$68,"D*")</f>
        <v>11</v>
      </c>
      <c r="C26" s="11" t="str">
        <f aca="false">IF(B26&lt;10,"ผ่าน","เกิน")</f>
        <v>เกิน</v>
      </c>
    </row>
    <row r="27" customFormat="false" ht="15" hidden="false" customHeight="false" outlineLevel="0" collapsed="false">
      <c r="A27" s="25" t="s">
        <v>308</v>
      </c>
      <c r="B27" s="30" t="n">
        <f aca="false">SUMIFS(AM_Calendar!$G$7:$G$68,AM_Calendar!$B$7:$B$68,"ระบบลม",AM_Calendar!$F$7:$F$68,"D*")</f>
        <v>6.5</v>
      </c>
      <c r="C27" s="11" t="str">
        <f aca="false">IF(B27&lt;10,"ผ่าน","เกิน")</f>
        <v>ผ่าน</v>
      </c>
    </row>
    <row r="28" customFormat="false" ht="15" hidden="false" customHeight="false" outlineLevel="0" collapsed="false">
      <c r="A28" s="25" t="s">
        <v>309</v>
      </c>
      <c r="B28" s="30" t="n">
        <f aca="false">B26+B27</f>
        <v>17.5</v>
      </c>
      <c r="C28" s="11" t="str">
        <f aca="false">IF(B28&lt;10,"ผ่าน","เกิน")</f>
        <v>เกิน</v>
      </c>
    </row>
    <row r="29" customFormat="false" ht="11.9" hidden="false" customHeight="false" outlineLevel="0" collapsed="false">
      <c r="A29" s="35" t="s">
        <v>310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</row>
  </sheetData>
  <mergeCells count="7">
    <mergeCell ref="A1:N1"/>
    <mergeCell ref="A2:N2"/>
    <mergeCell ref="A8:N8"/>
    <mergeCell ref="A14:N14"/>
    <mergeCell ref="B23:D23"/>
    <mergeCell ref="A25:N25"/>
    <mergeCell ref="A29:N29"/>
  </mergeCells>
  <conditionalFormatting sqref="C26:C28">
    <cfRule type="cellIs" priority="2" operator="equal" aboveAverage="0" equalAverage="0" bottom="0" percent="0" rank="0" text="" dxfId="10">
      <formula>"เกิน"</formula>
    </cfRule>
    <cfRule type="cellIs" priority="3" operator="equal" aboveAverage="0" equalAverage="0" bottom="0" percent="0" rank="0" text="" dxfId="11">
      <formula>"ผ่าน"</formula>
    </cfRule>
  </conditionalFormatting>
  <printOptions headings="false" gridLines="false" gridLinesSet="true" horizontalCentered="true" verticalCentered="false"/>
  <pageMargins left="0.3" right="0.3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7"/>
    <col collapsed="false" customWidth="true" hidden="false" outlineLevel="0" max="11" min="11" style="0" width="28"/>
  </cols>
  <sheetData>
    <row r="1" customFormat="false" ht="30" hidden="false" customHeight="true" outlineLevel="0" collapsed="false">
      <c r="A1" s="1" t="s">
        <v>311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1.9" hidden="false" customHeight="false" outlineLevel="0" collapsed="false">
      <c r="A2" s="2" t="s">
        <v>312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6" hidden="false" customHeight="true" outlineLevel="0" collapsed="false">
      <c r="A4" s="8" t="s">
        <v>24</v>
      </c>
      <c r="B4" s="8" t="s">
        <v>25</v>
      </c>
      <c r="C4" s="8" t="s">
        <v>313</v>
      </c>
      <c r="D4" s="8" t="s">
        <v>29</v>
      </c>
      <c r="E4" s="8" t="s">
        <v>314</v>
      </c>
      <c r="F4" s="8" t="s">
        <v>30</v>
      </c>
      <c r="G4" s="8" t="s">
        <v>31</v>
      </c>
      <c r="H4" s="8" t="s">
        <v>315</v>
      </c>
      <c r="I4" s="8" t="s">
        <v>316</v>
      </c>
      <c r="J4" s="8" t="s">
        <v>317</v>
      </c>
      <c r="K4" s="8" t="s">
        <v>318</v>
      </c>
    </row>
    <row r="5" customFormat="false" ht="27.75" hidden="false" customHeight="true" outlineLevel="0" collapsed="false">
      <c r="A5" s="12" t="s">
        <v>83</v>
      </c>
      <c r="B5" s="12" t="s">
        <v>48</v>
      </c>
      <c r="C5" s="13" t="s">
        <v>84</v>
      </c>
      <c r="D5" s="12" t="s">
        <v>85</v>
      </c>
      <c r="E5" s="12" t="s">
        <v>37</v>
      </c>
      <c r="F5" s="12" t="n">
        <v>2</v>
      </c>
      <c r="G5" s="16" t="s">
        <v>86</v>
      </c>
      <c r="H5" s="26"/>
      <c r="I5" s="26"/>
      <c r="J5" s="26"/>
      <c r="K5" s="26"/>
    </row>
    <row r="6" customFormat="false" ht="27.75" hidden="false" customHeight="true" outlineLevel="0" collapsed="false">
      <c r="A6" s="12" t="s">
        <v>83</v>
      </c>
      <c r="B6" s="12" t="s">
        <v>48</v>
      </c>
      <c r="C6" s="13" t="s">
        <v>84</v>
      </c>
      <c r="D6" s="12" t="s">
        <v>85</v>
      </c>
      <c r="E6" s="12" t="s">
        <v>43</v>
      </c>
      <c r="F6" s="12" t="n">
        <v>2</v>
      </c>
      <c r="G6" s="16" t="s">
        <v>86</v>
      </c>
      <c r="H6" s="26"/>
      <c r="I6" s="26"/>
      <c r="J6" s="26"/>
      <c r="K6" s="26"/>
    </row>
    <row r="7" customFormat="false" ht="27.75" hidden="false" customHeight="true" outlineLevel="0" collapsed="false">
      <c r="A7" s="12" t="s">
        <v>103</v>
      </c>
      <c r="B7" s="12" t="s">
        <v>48</v>
      </c>
      <c r="C7" s="13" t="s">
        <v>105</v>
      </c>
      <c r="D7" s="16" t="s">
        <v>107</v>
      </c>
      <c r="E7" s="12" t="s">
        <v>43</v>
      </c>
      <c r="F7" s="12" t="n">
        <v>20</v>
      </c>
      <c r="G7" s="12" t="s">
        <v>108</v>
      </c>
      <c r="H7" s="26"/>
      <c r="I7" s="26"/>
      <c r="J7" s="26"/>
      <c r="K7" s="26"/>
    </row>
    <row r="8" customFormat="false" ht="27.75" hidden="false" customHeight="true" outlineLevel="0" collapsed="false">
      <c r="A8" s="12" t="s">
        <v>126</v>
      </c>
      <c r="B8" s="12" t="s">
        <v>48</v>
      </c>
      <c r="C8" s="13" t="s">
        <v>127</v>
      </c>
      <c r="D8" s="16" t="s">
        <v>129</v>
      </c>
      <c r="E8" s="12" t="s">
        <v>37</v>
      </c>
      <c r="F8" s="12" t="n">
        <v>5</v>
      </c>
      <c r="G8" s="16" t="s">
        <v>130</v>
      </c>
      <c r="H8" s="26"/>
      <c r="I8" s="26"/>
      <c r="J8" s="26"/>
      <c r="K8" s="26"/>
    </row>
    <row r="9" customFormat="false" ht="27.75" hidden="false" customHeight="true" outlineLevel="0" collapsed="false">
      <c r="A9" s="12" t="s">
        <v>126</v>
      </c>
      <c r="B9" s="12" t="s">
        <v>48</v>
      </c>
      <c r="C9" s="13" t="s">
        <v>127</v>
      </c>
      <c r="D9" s="16" t="s">
        <v>129</v>
      </c>
      <c r="E9" s="12" t="s">
        <v>43</v>
      </c>
      <c r="F9" s="12" t="n">
        <v>5</v>
      </c>
      <c r="G9" s="16" t="s">
        <v>130</v>
      </c>
      <c r="H9" s="26"/>
      <c r="I9" s="26"/>
      <c r="J9" s="26"/>
      <c r="K9" s="26"/>
    </row>
    <row r="10" customFormat="false" ht="27.75" hidden="false" customHeight="true" outlineLevel="0" collapsed="false">
      <c r="A10" s="12" t="s">
        <v>193</v>
      </c>
      <c r="B10" s="12" t="s">
        <v>187</v>
      </c>
      <c r="C10" s="13" t="s">
        <v>195</v>
      </c>
      <c r="D10" s="12" t="s">
        <v>196</v>
      </c>
      <c r="E10" s="12" t="s">
        <v>32</v>
      </c>
      <c r="F10" s="12" t="n">
        <v>10</v>
      </c>
      <c r="G10" s="16" t="s">
        <v>86</v>
      </c>
      <c r="H10" s="26"/>
      <c r="I10" s="26"/>
      <c r="J10" s="26"/>
      <c r="K10" s="26"/>
    </row>
    <row r="11" customFormat="false" ht="27.75" hidden="false" customHeight="true" outlineLevel="0" collapsed="false">
      <c r="A11" s="12" t="s">
        <v>193</v>
      </c>
      <c r="B11" s="12" t="s">
        <v>187</v>
      </c>
      <c r="C11" s="13" t="s">
        <v>195</v>
      </c>
      <c r="D11" s="12" t="s">
        <v>196</v>
      </c>
      <c r="E11" s="12" t="s">
        <v>35</v>
      </c>
      <c r="F11" s="12" t="n">
        <v>10</v>
      </c>
      <c r="G11" s="16" t="s">
        <v>86</v>
      </c>
      <c r="H11" s="26"/>
      <c r="I11" s="26"/>
      <c r="J11" s="26"/>
      <c r="K11" s="26"/>
    </row>
    <row r="12" customFormat="false" ht="27.75" hidden="false" customHeight="true" outlineLevel="0" collapsed="false">
      <c r="A12" s="12" t="s">
        <v>193</v>
      </c>
      <c r="B12" s="12" t="s">
        <v>187</v>
      </c>
      <c r="C12" s="13" t="s">
        <v>195</v>
      </c>
      <c r="D12" s="12" t="s">
        <v>196</v>
      </c>
      <c r="E12" s="12" t="s">
        <v>38</v>
      </c>
      <c r="F12" s="12" t="n">
        <v>10</v>
      </c>
      <c r="G12" s="16" t="s">
        <v>86</v>
      </c>
      <c r="H12" s="26"/>
      <c r="I12" s="26"/>
      <c r="J12" s="26"/>
      <c r="K12" s="26"/>
    </row>
    <row r="13" customFormat="false" ht="27.75" hidden="false" customHeight="true" outlineLevel="0" collapsed="false">
      <c r="A13" s="12" t="s">
        <v>193</v>
      </c>
      <c r="B13" s="12" t="s">
        <v>187</v>
      </c>
      <c r="C13" s="13" t="s">
        <v>195</v>
      </c>
      <c r="D13" s="12" t="s">
        <v>196</v>
      </c>
      <c r="E13" s="12" t="s">
        <v>41</v>
      </c>
      <c r="F13" s="12" t="n">
        <v>10</v>
      </c>
      <c r="G13" s="16" t="s">
        <v>86</v>
      </c>
      <c r="H13" s="26"/>
      <c r="I13" s="26"/>
      <c r="J13" s="26"/>
      <c r="K13" s="26"/>
    </row>
    <row r="14" customFormat="false" ht="27.75" hidden="false" customHeight="true" outlineLevel="0" collapsed="false">
      <c r="A14" s="12" t="s">
        <v>233</v>
      </c>
      <c r="B14" s="12" t="s">
        <v>187</v>
      </c>
      <c r="C14" s="13" t="s">
        <v>234</v>
      </c>
      <c r="D14" s="12" t="s">
        <v>196</v>
      </c>
      <c r="E14" s="12" t="s">
        <v>32</v>
      </c>
      <c r="F14" s="12" t="n">
        <v>1</v>
      </c>
      <c r="G14" s="12" t="s">
        <v>54</v>
      </c>
      <c r="H14" s="26"/>
      <c r="I14" s="26"/>
      <c r="J14" s="26"/>
      <c r="K14" s="26"/>
    </row>
    <row r="15" customFormat="false" ht="27.75" hidden="false" customHeight="true" outlineLevel="0" collapsed="false">
      <c r="A15" s="12" t="s">
        <v>233</v>
      </c>
      <c r="B15" s="12" t="s">
        <v>187</v>
      </c>
      <c r="C15" s="13" t="s">
        <v>234</v>
      </c>
      <c r="D15" s="12" t="s">
        <v>196</v>
      </c>
      <c r="E15" s="12" t="s">
        <v>35</v>
      </c>
      <c r="F15" s="12" t="n">
        <v>1</v>
      </c>
      <c r="G15" s="12" t="s">
        <v>54</v>
      </c>
      <c r="H15" s="26"/>
      <c r="I15" s="26"/>
      <c r="J15" s="26"/>
      <c r="K15" s="26"/>
    </row>
    <row r="16" customFormat="false" ht="27.75" hidden="false" customHeight="true" outlineLevel="0" collapsed="false">
      <c r="A16" s="12" t="s">
        <v>233</v>
      </c>
      <c r="B16" s="12" t="s">
        <v>187</v>
      </c>
      <c r="C16" s="13" t="s">
        <v>234</v>
      </c>
      <c r="D16" s="12" t="s">
        <v>196</v>
      </c>
      <c r="E16" s="12" t="s">
        <v>38</v>
      </c>
      <c r="F16" s="12" t="n">
        <v>1</v>
      </c>
      <c r="G16" s="12" t="s">
        <v>54</v>
      </c>
      <c r="H16" s="26"/>
      <c r="I16" s="26"/>
      <c r="J16" s="26"/>
      <c r="K16" s="26"/>
    </row>
    <row r="17" customFormat="false" ht="27.75" hidden="false" customHeight="true" outlineLevel="0" collapsed="false">
      <c r="A17" s="12" t="s">
        <v>233</v>
      </c>
      <c r="B17" s="12" t="s">
        <v>187</v>
      </c>
      <c r="C17" s="13" t="s">
        <v>234</v>
      </c>
      <c r="D17" s="12" t="s">
        <v>196</v>
      </c>
      <c r="E17" s="12" t="s">
        <v>41</v>
      </c>
      <c r="F17" s="12" t="n">
        <v>1</v>
      </c>
      <c r="G17" s="12" t="s">
        <v>54</v>
      </c>
      <c r="H17" s="26"/>
      <c r="I17" s="26"/>
      <c r="J17" s="26"/>
      <c r="K17" s="26"/>
    </row>
    <row r="18" customFormat="false" ht="27.75" hidden="false" customHeight="true" outlineLevel="0" collapsed="false">
      <c r="A18" s="12" t="s">
        <v>236</v>
      </c>
      <c r="B18" s="12" t="s">
        <v>187</v>
      </c>
      <c r="C18" s="13" t="s">
        <v>237</v>
      </c>
      <c r="D18" s="12" t="s">
        <v>196</v>
      </c>
      <c r="E18" s="12" t="s">
        <v>32</v>
      </c>
      <c r="F18" s="12" t="n">
        <v>3</v>
      </c>
      <c r="G18" s="16" t="s">
        <v>130</v>
      </c>
      <c r="H18" s="26"/>
      <c r="I18" s="26"/>
      <c r="J18" s="26"/>
      <c r="K18" s="26"/>
    </row>
    <row r="19" customFormat="false" ht="27.75" hidden="false" customHeight="true" outlineLevel="0" collapsed="false">
      <c r="A19" s="12" t="s">
        <v>236</v>
      </c>
      <c r="B19" s="12" t="s">
        <v>187</v>
      </c>
      <c r="C19" s="13" t="s">
        <v>237</v>
      </c>
      <c r="D19" s="12" t="s">
        <v>196</v>
      </c>
      <c r="E19" s="12" t="s">
        <v>35</v>
      </c>
      <c r="F19" s="12" t="n">
        <v>3</v>
      </c>
      <c r="G19" s="16" t="s">
        <v>130</v>
      </c>
      <c r="H19" s="26"/>
      <c r="I19" s="26"/>
      <c r="J19" s="26"/>
      <c r="K19" s="26"/>
    </row>
    <row r="20" customFormat="false" ht="27.75" hidden="false" customHeight="true" outlineLevel="0" collapsed="false">
      <c r="A20" s="12" t="s">
        <v>236</v>
      </c>
      <c r="B20" s="12" t="s">
        <v>187</v>
      </c>
      <c r="C20" s="13" t="s">
        <v>237</v>
      </c>
      <c r="D20" s="12" t="s">
        <v>196</v>
      </c>
      <c r="E20" s="12" t="s">
        <v>38</v>
      </c>
      <c r="F20" s="12" t="n">
        <v>3</v>
      </c>
      <c r="G20" s="16" t="s">
        <v>130</v>
      </c>
      <c r="H20" s="26"/>
      <c r="I20" s="26"/>
      <c r="J20" s="26"/>
      <c r="K20" s="26"/>
    </row>
    <row r="21" customFormat="false" ht="27.75" hidden="false" customHeight="true" outlineLevel="0" collapsed="false">
      <c r="A21" s="12" t="s">
        <v>236</v>
      </c>
      <c r="B21" s="12" t="s">
        <v>187</v>
      </c>
      <c r="C21" s="13" t="s">
        <v>237</v>
      </c>
      <c r="D21" s="12" t="s">
        <v>196</v>
      </c>
      <c r="E21" s="12" t="s">
        <v>41</v>
      </c>
      <c r="F21" s="12" t="n">
        <v>3</v>
      </c>
      <c r="G21" s="16" t="s">
        <v>130</v>
      </c>
      <c r="H21" s="26"/>
      <c r="I21" s="26"/>
      <c r="J21" s="26"/>
      <c r="K21" s="26"/>
    </row>
    <row r="22" customFormat="false" ht="27.75" hidden="false" customHeight="true" outlineLevel="0" collapsed="false">
      <c r="A22" s="12" t="s">
        <v>239</v>
      </c>
      <c r="B22" s="12" t="s">
        <v>187</v>
      </c>
      <c r="C22" s="13" t="s">
        <v>240</v>
      </c>
      <c r="D22" s="12" t="s">
        <v>196</v>
      </c>
      <c r="E22" s="12" t="s">
        <v>32</v>
      </c>
      <c r="F22" s="12" t="n">
        <v>1</v>
      </c>
      <c r="G22" s="12" t="s">
        <v>54</v>
      </c>
      <c r="H22" s="26"/>
      <c r="I22" s="26"/>
      <c r="J22" s="26"/>
      <c r="K22" s="26"/>
    </row>
    <row r="23" customFormat="false" ht="27.75" hidden="false" customHeight="true" outlineLevel="0" collapsed="false">
      <c r="A23" s="12" t="s">
        <v>239</v>
      </c>
      <c r="B23" s="12" t="s">
        <v>187</v>
      </c>
      <c r="C23" s="13" t="s">
        <v>240</v>
      </c>
      <c r="D23" s="12" t="s">
        <v>196</v>
      </c>
      <c r="E23" s="12" t="s">
        <v>35</v>
      </c>
      <c r="F23" s="12" t="n">
        <v>1</v>
      </c>
      <c r="G23" s="12" t="s">
        <v>54</v>
      </c>
      <c r="H23" s="26"/>
      <c r="I23" s="26"/>
      <c r="J23" s="26"/>
      <c r="K23" s="26"/>
    </row>
    <row r="24" customFormat="false" ht="27.75" hidden="false" customHeight="true" outlineLevel="0" collapsed="false">
      <c r="A24" s="12" t="s">
        <v>239</v>
      </c>
      <c r="B24" s="12" t="s">
        <v>187</v>
      </c>
      <c r="C24" s="13" t="s">
        <v>240</v>
      </c>
      <c r="D24" s="12" t="s">
        <v>196</v>
      </c>
      <c r="E24" s="12" t="s">
        <v>38</v>
      </c>
      <c r="F24" s="12" t="n">
        <v>1</v>
      </c>
      <c r="G24" s="12" t="s">
        <v>54</v>
      </c>
      <c r="H24" s="26"/>
      <c r="I24" s="26"/>
      <c r="J24" s="26"/>
      <c r="K24" s="26"/>
    </row>
    <row r="25" customFormat="false" ht="27.75" hidden="false" customHeight="true" outlineLevel="0" collapsed="false">
      <c r="A25" s="12" t="s">
        <v>239</v>
      </c>
      <c r="B25" s="12" t="s">
        <v>187</v>
      </c>
      <c r="C25" s="13" t="s">
        <v>240</v>
      </c>
      <c r="D25" s="12" t="s">
        <v>196</v>
      </c>
      <c r="E25" s="12" t="s">
        <v>41</v>
      </c>
      <c r="F25" s="12" t="n">
        <v>1</v>
      </c>
      <c r="G25" s="12" t="s">
        <v>54</v>
      </c>
      <c r="H25" s="26"/>
      <c r="I25" s="26"/>
      <c r="J25" s="26"/>
      <c r="K25" s="26"/>
    </row>
    <row r="26" customFormat="false" ht="27.75" hidden="false" customHeight="true" outlineLevel="0" collapsed="false">
      <c r="A26" s="12" t="s">
        <v>242</v>
      </c>
      <c r="B26" s="12" t="s">
        <v>187</v>
      </c>
      <c r="C26" s="13" t="s">
        <v>244</v>
      </c>
      <c r="D26" s="12" t="s">
        <v>246</v>
      </c>
      <c r="E26" s="12" t="s">
        <v>38</v>
      </c>
      <c r="F26" s="12" t="n">
        <v>30</v>
      </c>
      <c r="G26" s="16" t="s">
        <v>247</v>
      </c>
      <c r="H26" s="26"/>
      <c r="I26" s="26"/>
      <c r="J26" s="26"/>
      <c r="K26" s="26"/>
    </row>
    <row r="27" customFormat="false" ht="27.75" hidden="false" customHeight="true" outlineLevel="0" collapsed="false">
      <c r="A27" s="12" t="s">
        <v>253</v>
      </c>
      <c r="B27" s="12" t="s">
        <v>187</v>
      </c>
      <c r="C27" s="13" t="s">
        <v>255</v>
      </c>
      <c r="D27" s="12" t="s">
        <v>196</v>
      </c>
      <c r="E27" s="12" t="s">
        <v>32</v>
      </c>
      <c r="F27" s="12" t="n">
        <v>2</v>
      </c>
      <c r="G27" s="12" t="s">
        <v>54</v>
      </c>
      <c r="H27" s="26"/>
      <c r="I27" s="26"/>
      <c r="J27" s="26"/>
      <c r="K27" s="26"/>
    </row>
    <row r="28" customFormat="false" ht="27.75" hidden="false" customHeight="true" outlineLevel="0" collapsed="false">
      <c r="A28" s="12" t="s">
        <v>253</v>
      </c>
      <c r="B28" s="12" t="s">
        <v>187</v>
      </c>
      <c r="C28" s="13" t="s">
        <v>255</v>
      </c>
      <c r="D28" s="12" t="s">
        <v>196</v>
      </c>
      <c r="E28" s="12" t="s">
        <v>35</v>
      </c>
      <c r="F28" s="12" t="n">
        <v>2</v>
      </c>
      <c r="G28" s="12" t="s">
        <v>54</v>
      </c>
      <c r="H28" s="26"/>
      <c r="I28" s="26"/>
      <c r="J28" s="26"/>
      <c r="K28" s="26"/>
    </row>
    <row r="29" customFormat="false" ht="27.75" hidden="false" customHeight="true" outlineLevel="0" collapsed="false">
      <c r="A29" s="12" t="s">
        <v>253</v>
      </c>
      <c r="B29" s="12" t="s">
        <v>187</v>
      </c>
      <c r="C29" s="13" t="s">
        <v>255</v>
      </c>
      <c r="D29" s="12" t="s">
        <v>196</v>
      </c>
      <c r="E29" s="12" t="s">
        <v>38</v>
      </c>
      <c r="F29" s="12" t="n">
        <v>2</v>
      </c>
      <c r="G29" s="12" t="s">
        <v>54</v>
      </c>
      <c r="H29" s="26"/>
      <c r="I29" s="26"/>
      <c r="J29" s="26"/>
      <c r="K29" s="26"/>
    </row>
    <row r="30" customFormat="false" ht="27.75" hidden="false" customHeight="true" outlineLevel="0" collapsed="false">
      <c r="A30" s="12" t="s">
        <v>253</v>
      </c>
      <c r="B30" s="12" t="s">
        <v>187</v>
      </c>
      <c r="C30" s="13" t="s">
        <v>255</v>
      </c>
      <c r="D30" s="12" t="s">
        <v>196</v>
      </c>
      <c r="E30" s="12" t="s">
        <v>41</v>
      </c>
      <c r="F30" s="12" t="n">
        <v>2</v>
      </c>
      <c r="G30" s="12" t="s">
        <v>54</v>
      </c>
      <c r="H30" s="26"/>
      <c r="I30" s="26"/>
      <c r="J30" s="26"/>
      <c r="K30" s="26"/>
    </row>
    <row r="31" customFormat="false" ht="27.75" hidden="false" customHeight="true" outlineLevel="0" collapsed="false">
      <c r="A31" s="12" t="s">
        <v>257</v>
      </c>
      <c r="B31" s="12" t="s">
        <v>187</v>
      </c>
      <c r="C31" s="13" t="s">
        <v>259</v>
      </c>
      <c r="D31" s="12" t="s">
        <v>196</v>
      </c>
      <c r="E31" s="12" t="s">
        <v>32</v>
      </c>
      <c r="F31" s="12" t="n">
        <v>2</v>
      </c>
      <c r="G31" s="16" t="s">
        <v>130</v>
      </c>
      <c r="H31" s="26"/>
      <c r="I31" s="26"/>
      <c r="J31" s="26"/>
      <c r="K31" s="26"/>
    </row>
    <row r="32" customFormat="false" ht="27.75" hidden="false" customHeight="true" outlineLevel="0" collapsed="false">
      <c r="A32" s="12" t="s">
        <v>257</v>
      </c>
      <c r="B32" s="12" t="s">
        <v>187</v>
      </c>
      <c r="C32" s="13" t="s">
        <v>259</v>
      </c>
      <c r="D32" s="12" t="s">
        <v>196</v>
      </c>
      <c r="E32" s="12" t="s">
        <v>35</v>
      </c>
      <c r="F32" s="12" t="n">
        <v>2</v>
      </c>
      <c r="G32" s="16" t="s">
        <v>130</v>
      </c>
      <c r="H32" s="26"/>
      <c r="I32" s="26"/>
      <c r="J32" s="26"/>
      <c r="K32" s="26"/>
    </row>
    <row r="33" customFormat="false" ht="27.75" hidden="false" customHeight="true" outlineLevel="0" collapsed="false">
      <c r="A33" s="12" t="s">
        <v>257</v>
      </c>
      <c r="B33" s="12" t="s">
        <v>187</v>
      </c>
      <c r="C33" s="13" t="s">
        <v>259</v>
      </c>
      <c r="D33" s="12" t="s">
        <v>196</v>
      </c>
      <c r="E33" s="12" t="s">
        <v>38</v>
      </c>
      <c r="F33" s="12" t="n">
        <v>2</v>
      </c>
      <c r="G33" s="16" t="s">
        <v>130</v>
      </c>
      <c r="H33" s="26"/>
      <c r="I33" s="26"/>
      <c r="J33" s="26"/>
      <c r="K33" s="26"/>
    </row>
    <row r="34" customFormat="false" ht="27.75" hidden="false" customHeight="true" outlineLevel="0" collapsed="false">
      <c r="A34" s="12" t="s">
        <v>257</v>
      </c>
      <c r="B34" s="12" t="s">
        <v>187</v>
      </c>
      <c r="C34" s="13" t="s">
        <v>259</v>
      </c>
      <c r="D34" s="12" t="s">
        <v>196</v>
      </c>
      <c r="E34" s="12" t="s">
        <v>41</v>
      </c>
      <c r="F34" s="12" t="n">
        <v>2</v>
      </c>
      <c r="G34" s="16" t="s">
        <v>130</v>
      </c>
      <c r="H34" s="26"/>
      <c r="I34" s="26"/>
      <c r="J34" s="26"/>
      <c r="K34" s="26"/>
    </row>
    <row r="35" customFormat="false" ht="27.75" hidden="false" customHeight="true" outlineLevel="0" collapsed="false">
      <c r="A35" s="12" t="s">
        <v>262</v>
      </c>
      <c r="B35" s="12" t="s">
        <v>187</v>
      </c>
      <c r="C35" s="13" t="s">
        <v>264</v>
      </c>
      <c r="D35" s="12" t="s">
        <v>246</v>
      </c>
      <c r="E35" s="12" t="s">
        <v>38</v>
      </c>
      <c r="F35" s="12" t="n">
        <v>30</v>
      </c>
      <c r="G35" s="16" t="s">
        <v>247</v>
      </c>
      <c r="H35" s="26"/>
      <c r="I35" s="26"/>
      <c r="J35" s="26"/>
      <c r="K35" s="26"/>
    </row>
    <row r="36" customFormat="false" ht="27.75" hidden="false" customHeight="true" outlineLevel="0" collapsed="false">
      <c r="A36" s="12" t="s">
        <v>266</v>
      </c>
      <c r="B36" s="12" t="s">
        <v>187</v>
      </c>
      <c r="C36" s="13" t="s">
        <v>268</v>
      </c>
      <c r="D36" s="12" t="s">
        <v>246</v>
      </c>
      <c r="E36" s="12" t="s">
        <v>38</v>
      </c>
      <c r="F36" s="12" t="n">
        <v>20</v>
      </c>
      <c r="G36" s="16" t="s">
        <v>247</v>
      </c>
      <c r="H36" s="26"/>
      <c r="I36" s="26"/>
      <c r="J36" s="26"/>
      <c r="K36" s="26"/>
    </row>
    <row r="37" customFormat="false" ht="27.75" hidden="false" customHeight="true" outlineLevel="0" collapsed="false">
      <c r="A37" s="12" t="s">
        <v>271</v>
      </c>
      <c r="B37" s="12" t="s">
        <v>187</v>
      </c>
      <c r="C37" s="13" t="s">
        <v>273</v>
      </c>
      <c r="D37" s="12" t="s">
        <v>196</v>
      </c>
      <c r="E37" s="12" t="s">
        <v>32</v>
      </c>
      <c r="F37" s="12" t="n">
        <v>5</v>
      </c>
      <c r="G37" s="12" t="s">
        <v>54</v>
      </c>
      <c r="H37" s="26"/>
      <c r="I37" s="26"/>
      <c r="J37" s="26"/>
      <c r="K37" s="26"/>
    </row>
    <row r="38" customFormat="false" ht="27.75" hidden="false" customHeight="true" outlineLevel="0" collapsed="false">
      <c r="A38" s="12" t="s">
        <v>271</v>
      </c>
      <c r="B38" s="12" t="s">
        <v>187</v>
      </c>
      <c r="C38" s="13" t="s">
        <v>273</v>
      </c>
      <c r="D38" s="12" t="s">
        <v>196</v>
      </c>
      <c r="E38" s="12" t="s">
        <v>35</v>
      </c>
      <c r="F38" s="12" t="n">
        <v>5</v>
      </c>
      <c r="G38" s="12" t="s">
        <v>54</v>
      </c>
      <c r="H38" s="26"/>
      <c r="I38" s="26"/>
      <c r="J38" s="26"/>
      <c r="K38" s="26"/>
    </row>
    <row r="39" customFormat="false" ht="27.75" hidden="false" customHeight="true" outlineLevel="0" collapsed="false">
      <c r="A39" s="12" t="s">
        <v>271</v>
      </c>
      <c r="B39" s="12" t="s">
        <v>187</v>
      </c>
      <c r="C39" s="13" t="s">
        <v>273</v>
      </c>
      <c r="D39" s="12" t="s">
        <v>196</v>
      </c>
      <c r="E39" s="12" t="s">
        <v>38</v>
      </c>
      <c r="F39" s="12" t="n">
        <v>5</v>
      </c>
      <c r="G39" s="12" t="s">
        <v>54</v>
      </c>
      <c r="H39" s="26"/>
      <c r="I39" s="26"/>
      <c r="J39" s="26"/>
      <c r="K39" s="26"/>
    </row>
    <row r="40" customFormat="false" ht="27.75" hidden="false" customHeight="true" outlineLevel="0" collapsed="false">
      <c r="A40" s="12" t="s">
        <v>271</v>
      </c>
      <c r="B40" s="12" t="s">
        <v>187</v>
      </c>
      <c r="C40" s="13" t="s">
        <v>273</v>
      </c>
      <c r="D40" s="12" t="s">
        <v>196</v>
      </c>
      <c r="E40" s="12" t="s">
        <v>41</v>
      </c>
      <c r="F40" s="12" t="n">
        <v>5</v>
      </c>
      <c r="G40" s="12" t="s">
        <v>54</v>
      </c>
      <c r="H40" s="26"/>
      <c r="I40" s="26"/>
      <c r="J40" s="26"/>
      <c r="K40" s="26"/>
    </row>
    <row r="41" customFormat="false" ht="27.75" hidden="false" customHeight="true" outlineLevel="0" collapsed="false">
      <c r="A41" s="12" t="s">
        <v>275</v>
      </c>
      <c r="B41" s="12" t="s">
        <v>187</v>
      </c>
      <c r="C41" s="13" t="s">
        <v>277</v>
      </c>
      <c r="D41" s="12" t="s">
        <v>246</v>
      </c>
      <c r="E41" s="12" t="s">
        <v>38</v>
      </c>
      <c r="F41" s="12" t="n">
        <v>30</v>
      </c>
      <c r="G41" s="16" t="s">
        <v>247</v>
      </c>
      <c r="H41" s="26"/>
      <c r="I41" s="26"/>
      <c r="J41" s="26"/>
      <c r="K41" s="26"/>
    </row>
    <row r="43" customFormat="false" ht="15" hidden="false" customHeight="false" outlineLevel="0" collapsed="false">
      <c r="C43" s="36" t="s">
        <v>319</v>
      </c>
      <c r="E43" s="37" t="n">
        <f aca="false">IFERROR(COUNTA(H5:H41)/ROWS(H5:H41),0)</f>
        <v>0</v>
      </c>
    </row>
    <row r="44" customFormat="false" ht="15" hidden="false" customHeight="false" outlineLevel="0" collapsed="false">
      <c r="C44" s="36" t="s">
        <v>320</v>
      </c>
      <c r="E44" s="30" t="n">
        <f aca="false">COUNTIF(J5:J41,"×")</f>
        <v>0</v>
      </c>
    </row>
    <row r="46" customFormat="false" ht="21.75" hidden="false" customHeight="true" outlineLevel="0" collapsed="false">
      <c r="A46" s="10" t="s">
        <v>321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customFormat="false" ht="27.75" hidden="false" customHeight="true" outlineLevel="0" collapsed="false">
      <c r="A47" s="12" t="s">
        <v>111</v>
      </c>
      <c r="B47" s="12" t="s">
        <v>48</v>
      </c>
      <c r="C47" s="13" t="s">
        <v>113</v>
      </c>
      <c r="D47" s="16" t="s">
        <v>115</v>
      </c>
      <c r="E47" s="12" t="s">
        <v>110</v>
      </c>
      <c r="F47" s="12" t="n">
        <v>5</v>
      </c>
      <c r="G47" s="12" t="s">
        <v>108</v>
      </c>
      <c r="H47" s="26"/>
      <c r="I47" s="26"/>
      <c r="J47" s="26"/>
      <c r="K47" s="26"/>
    </row>
    <row r="48" customFormat="false" ht="27.75" hidden="false" customHeight="true" outlineLevel="0" collapsed="false">
      <c r="A48" s="12" t="s">
        <v>169</v>
      </c>
      <c r="B48" s="12" t="s">
        <v>48</v>
      </c>
      <c r="C48" s="13" t="s">
        <v>171</v>
      </c>
      <c r="D48" s="16" t="s">
        <v>172</v>
      </c>
      <c r="E48" s="12" t="s">
        <v>110</v>
      </c>
      <c r="F48" s="12" t="n">
        <v>5</v>
      </c>
      <c r="G48" s="16" t="s">
        <v>130</v>
      </c>
      <c r="H48" s="26"/>
      <c r="I48" s="26"/>
      <c r="J48" s="26"/>
      <c r="K48" s="26"/>
    </row>
  </sheetData>
  <mergeCells count="3">
    <mergeCell ref="A1:K1"/>
    <mergeCell ref="A2:K2"/>
    <mergeCell ref="A46:K46"/>
  </mergeCells>
  <conditionalFormatting sqref="J5:J41">
    <cfRule type="cellIs" priority="2" operator="equal" aboveAverage="0" equalAverage="0" bottom="0" percent="0" rank="0" text="" dxfId="10">
      <formula>"×"</formula>
    </cfRule>
    <cfRule type="cellIs" priority="3" operator="equal" aboveAverage="0" equalAverage="0" bottom="0" percent="0" rank="0" text="" dxfId="12">
      <formula>"△"</formula>
    </cfRule>
  </conditionalFormatting>
  <dataValidations count="1">
    <dataValidation allowBlank="true" errorStyle="stop" operator="between" showDropDown="false" showErrorMessage="false" showInputMessage="false" sqref="J5:J41 J47:J48" type="list">
      <formula1>"○,△,×"</formula1>
      <formula2>0</formula2>
    </dataValidation>
  </dataValidations>
  <printOptions headings="false" gridLines="false" gridLinesSet="true" horizontalCentered="true" verticalCentered="false"/>
  <pageMargins left="0.3" right="0.3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42"/>
    <col collapsed="false" customWidth="true" hidden="false" outlineLevel="0" max="4" min="4" style="0" width="2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26"/>
  </cols>
  <sheetData>
    <row r="1" customFormat="false" ht="30" hidden="false" customHeight="true" outlineLevel="0" collapsed="false">
      <c r="A1" s="1" t="s">
        <v>322</v>
      </c>
      <c r="B1" s="1"/>
      <c r="C1" s="1"/>
      <c r="D1" s="1"/>
      <c r="E1" s="1"/>
      <c r="F1" s="1"/>
      <c r="G1" s="1"/>
    </row>
    <row r="2" customFormat="false" ht="11.9" hidden="false" customHeight="false" outlineLevel="0" collapsed="false">
      <c r="A2" s="2" t="s">
        <v>323</v>
      </c>
      <c r="B2" s="2"/>
      <c r="C2" s="2"/>
      <c r="D2" s="2"/>
      <c r="E2" s="2"/>
      <c r="F2" s="2"/>
      <c r="G2" s="2"/>
    </row>
    <row r="4" customFormat="false" ht="36" hidden="false" customHeight="true" outlineLevel="0" collapsed="false">
      <c r="A4" s="8" t="s">
        <v>24</v>
      </c>
      <c r="B4" s="8" t="s">
        <v>324</v>
      </c>
      <c r="C4" s="8" t="s">
        <v>325</v>
      </c>
      <c r="D4" s="8" t="s">
        <v>326</v>
      </c>
      <c r="E4" s="8" t="s">
        <v>327</v>
      </c>
      <c r="F4" s="8" t="s">
        <v>328</v>
      </c>
      <c r="G4" s="8" t="s">
        <v>329</v>
      </c>
    </row>
    <row r="5" customFormat="false" ht="36" hidden="false" customHeight="true" outlineLevel="0" collapsed="false">
      <c r="A5" s="12" t="n">
        <v>1</v>
      </c>
      <c r="B5" s="13" t="s">
        <v>330</v>
      </c>
      <c r="C5" s="13" t="s">
        <v>331</v>
      </c>
      <c r="D5" s="38" t="s">
        <v>332</v>
      </c>
      <c r="E5" s="39"/>
      <c r="F5" s="39"/>
      <c r="G5" s="39"/>
    </row>
    <row r="6" customFormat="false" ht="36" hidden="false" customHeight="true" outlineLevel="0" collapsed="false">
      <c r="A6" s="12" t="n">
        <v>2</v>
      </c>
      <c r="B6" s="13" t="s">
        <v>333</v>
      </c>
      <c r="C6" s="13" t="s">
        <v>334</v>
      </c>
      <c r="D6" s="13" t="s">
        <v>335</v>
      </c>
      <c r="E6" s="39"/>
      <c r="F6" s="39"/>
      <c r="G6" s="39"/>
    </row>
    <row r="7" customFormat="false" ht="36" hidden="false" customHeight="true" outlineLevel="0" collapsed="false">
      <c r="A7" s="12" t="n">
        <v>3</v>
      </c>
      <c r="B7" s="13" t="s">
        <v>336</v>
      </c>
      <c r="C7" s="13" t="s">
        <v>337</v>
      </c>
      <c r="D7" s="38" t="s">
        <v>338</v>
      </c>
      <c r="E7" s="39"/>
      <c r="F7" s="39"/>
      <c r="G7" s="39"/>
    </row>
    <row r="8" customFormat="false" ht="36" hidden="false" customHeight="true" outlineLevel="0" collapsed="false">
      <c r="A8" s="12" t="n">
        <v>4</v>
      </c>
      <c r="B8" s="13" t="s">
        <v>339</v>
      </c>
      <c r="C8" s="13" t="s">
        <v>340</v>
      </c>
      <c r="D8" s="40" t="s">
        <v>341</v>
      </c>
      <c r="E8" s="39"/>
      <c r="F8" s="39"/>
      <c r="G8" s="39"/>
    </row>
    <row r="9" customFormat="false" ht="36" hidden="false" customHeight="true" outlineLevel="0" collapsed="false">
      <c r="A9" s="12" t="n">
        <v>5</v>
      </c>
      <c r="B9" s="13" t="s">
        <v>342</v>
      </c>
      <c r="C9" s="38" t="s">
        <v>343</v>
      </c>
      <c r="D9" s="13" t="s">
        <v>344</v>
      </c>
      <c r="E9" s="39"/>
      <c r="F9" s="39"/>
      <c r="G9" s="39"/>
    </row>
    <row r="10" customFormat="false" ht="36" hidden="false" customHeight="true" outlineLevel="0" collapsed="false">
      <c r="A10" s="12" t="n">
        <v>6</v>
      </c>
      <c r="B10" s="13" t="s">
        <v>345</v>
      </c>
      <c r="C10" s="13" t="s">
        <v>346</v>
      </c>
      <c r="D10" s="13" t="s">
        <v>347</v>
      </c>
      <c r="E10" s="39"/>
      <c r="F10" s="39"/>
      <c r="G10" s="39"/>
    </row>
  </sheetData>
  <mergeCells count="2">
    <mergeCell ref="A1:G1"/>
    <mergeCell ref="A2:G2"/>
  </mergeCells>
  <printOptions headings="false" gridLines="false" gridLinesSet="true" horizontalCentered="true" verticalCentered="false"/>
  <pageMargins left="0.3" right="0.3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2026-10-05T13:48:05Z</dcterms:created>
  <dc:creator>openpyxl</dc:creator>
  <dc:description/>
  <dc:language>en-US</dc:language>
  <cp:lastModifiedBy/>
  <dcterms:modified xsi:type="dcterms:W3CDTF">2026-10-05T13:48:05Z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