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_To_Use" sheetId="1" state="visible" r:id="rId3"/>
    <sheet name="Daily_Check" sheetId="2" state="visible" r:id="rId4"/>
    <sheet name="Weekly_Check" sheetId="3" state="visible" r:id="rId5"/>
    <sheet name="Periodic_Check" sheetId="4" state="visible" r:id="rId6"/>
    <sheet name="Reference" sheetId="5" state="visible" r:id="rId7"/>
    <sheet name="To_Confirm" sheetId="6" state="visible" r:id="rId8"/>
  </sheets>
  <definedNames>
    <definedName function="false" hidden="false" localSheetId="1" name="_xlnm.Print_Titles" vbProcedure="false">Daily_Check!$6:$6</definedName>
    <definedName function="false" hidden="false" localSheetId="2" name="_xlnm.Print_Titles" vbProcedure="false">Weekly_Check!$5:$5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<sst xmlns="http://schemas.openxmlformats.org/spreadsheetml/2006/main" count="512" uniqueCount="398">
  <si>
    <r>
      <rPr>
        <b val="true"/>
        <sz val="15"/>
        <color rgb="FFFFFFFF"/>
        <rFont val="Tahoma"/>
        <family val="0"/>
        <charset val="1"/>
      </rPr>
      <t xml:space="preserve">AM Check Sheet — Hydraulic Unit (</t>
    </r>
    <r>
      <rPr>
        <b val="true"/>
        <sz val="15"/>
        <color rgb="FFFFFFFF"/>
        <rFont val="WenQuanYi Zen Hei"/>
        <family val="2"/>
      </rPr>
      <t xml:space="preserve">自主保全 点検表 </t>
    </r>
    <r>
      <rPr>
        <b val="true"/>
        <sz val="15"/>
        <color rgb="FFFFFFFF"/>
        <rFont val="Tahoma"/>
        <family val="0"/>
        <charset val="1"/>
      </rPr>
      <t xml:space="preserve">= ใบตรวจ AM)</t>
    </r>
  </si>
  <si>
    <t xml:space="preserve">จากเกณฑ์ใน OPL 5-C-1 … 5-C-13 (JIPM-Solutions · Equipment Skills Training – Hydraulic) ที่สอนในวิดีโอ EP13–EP21</t>
  </si>
  <si>
    <t xml:space="preserve">ชีท</t>
  </si>
  <si>
    <t xml:space="preserve">ใช้ทำอะไร</t>
  </si>
  <si>
    <t xml:space="preserve">Daily_Check</t>
  </si>
  <si>
    <t xml:space="preserve">ตรวจทุกวัน 3 จังหวะ: เริ่มเดินเครื่อง → ขณะเดินเครื่อง → หลังเลิกงาน · ช่องวันที่ 1–31</t>
  </si>
  <si>
    <t xml:space="preserve">Weekly_Check</t>
  </si>
  <si>
    <t xml:space="preserve">กระบอกสูบ · สายแรงดันสูง · Relief/Solenoid valve · แถบสีมิเตอร์ · ช่องสัปดาห์ W1–W5 (ความถี่เป็นข้อเสนอ *)</t>
  </si>
  <si>
    <t xml:space="preserve">Periodic_Check</t>
  </si>
  <si>
    <t xml:space="preserve">Filter ทุก 6 เดือน · Regular check · ทดสอบ Relief valve (ผู้ได้รับมอบหมาย) · ช่องเดือน ม.ค.–ธ.ค.</t>
  </si>
  <si>
    <t xml:space="preserve">Reference</t>
  </si>
  <si>
    <t xml:space="preserve">ตารางอุณหภูมิจากการสัมผัส · ช่วงอุณหภูมิน้ำมัน · ตารางเสียงผิดปกติ</t>
  </si>
  <si>
    <t xml:space="preserve">To_Confirm</t>
  </si>
  <si>
    <t xml:space="preserve">ประเด็นที่หัวหน้างาน/Safety ต้องยืนยันก่อนใช้จริง</t>
  </si>
  <si>
    <t xml:space="preserve">สัญลักษณ์ผลตรวจ</t>
  </si>
  <si>
    <t xml:space="preserve">○ ปกติ (OK) · △ เฝ้าดู (Watch) · × ผิดปกติ (NG → ทำตามช่อง “เมื่อพบ NG” + ติด F-tag) · — ไม่ได้ตรวจ</t>
  </si>
  <si>
    <t xml:space="preserve">ช่องที่ต้องกรอก</t>
  </si>
  <si>
    <t xml:space="preserve">ช่องสีเหลือง = ข้อมูลเครื่อง/ลายเซ็น · ช่องตาราง = เลือกจาก drop-down (○ △ × —)</t>
  </si>
  <si>
    <t xml:space="preserve">คำนวณอัตโนมัติ</t>
  </si>
  <si>
    <t xml:space="preserve">ช่องสีเทา “× รวม” และแถว “จำนวน × / △ ต่อวัน” นับจากตารางให้เอง</t>
  </si>
  <si>
    <t xml:space="preserve">ที่มา</t>
  </si>
  <si>
    <t xml:space="preserve">PDF p.x = มาจากเอกสารต้นฉบับ · * ข้อเสนอ = ต้นฉบับไม่ระบุ ให้หัวหน้างานยืนยัน · [DATA REQUIRED] = ต้องใส่ค่าของเครื่อง</t>
  </si>
  <si>
    <t xml:space="preserve">ตัวอย่างการกรอก</t>
  </si>
  <si>
    <t xml:space="preserve">วันที่ 3 ข้อ “เข็มเกจแรงดันแกว่ง” = ×  → แจ้งช่างซ่อมบำรุง ติด F-tag แดง และเขียนหมายเหตุ “แกว่ง ±5 kgf/cm² เวลา 10:30”</t>
  </si>
  <si>
    <t xml:space="preserve">ความปลอดภัย</t>
  </si>
  <si>
    <t xml:space="preserve">ตรวจด้วยมือเฉพาะจุดที่ปลอดภัย ห้ามแตะส่วนหมุน · งานถอด/ขันข้อต่อ: หยุดปั๊ม ปล่อยแรงดันจนเกจชี้ 0 + LOTO (ข้อเสนอ — ยืนยันกับขั้นตอนของโรงงาน)</t>
  </si>
  <si>
    <t xml:space="preserve">AM Check Sheet — Hydraulic Unit · ตรวจประจำวัน (Daily)</t>
  </si>
  <si>
    <t xml:space="preserve">○ ปกติ · △ เฝ้าดู · × ผิดปกติ · — ไม่ได้ตรวจ   |   * = ข้อเสนอ ให้หัวหน้างานยืนยัน   |   ที่มา: OPL 5-C-1 … 5-C-10 (EP13–EP19)</t>
  </si>
  <si>
    <t xml:space="preserve">เครื่องจักร</t>
  </si>
  <si>
    <t xml:space="preserve">Line / แผนก</t>
  </si>
  <si>
    <t xml:space="preserve">ค่าตั้งแรงดัน (kgf/cm²)</t>
  </si>
  <si>
    <t xml:space="preserve">[DATA REQUIRED]</t>
  </si>
  <si>
    <t xml:space="preserve">เวลารอบปกติ (วินาที)</t>
  </si>
  <si>
    <t xml:space="preserve">เดือน / ปี</t>
  </si>
  <si>
    <t xml:space="preserve">ผู้รับผิดชอบ</t>
  </si>
  <si>
    <t xml:space="preserve">No.</t>
  </si>
  <si>
    <t xml:space="preserve">จุดตรวจ (Item)</t>
  </si>
  <si>
    <t xml:space="preserve">วิธีตรวจ</t>
  </si>
  <si>
    <t xml:space="preserve">เกณฑ์ OK</t>
  </si>
  <si>
    <t xml:space="preserve">เมื่อพบ NG (×)</t>
  </si>
  <si>
    <t xml:space="preserve">OPL · วิดีโอ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</si>
  <si>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</si>
  <si>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</si>
  <si>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</si>
  <si>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</si>
  <si>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</si>
  <si>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</si>
  <si>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</si>
  <si>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</si>
  <si>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</si>
  <si>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</si>
  <si>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</si>
  <si>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</si>
  <si>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</si>
  <si>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</si>
  <si>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</si>
  <si>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</si>
  <si>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</si>
  <si>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</si>
  <si>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</si>
  <si>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</si>
  <si>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</si>
  <si>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</si>
  <si>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</si>
  <si>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</si>
  <si>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</si>
  <si>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</si>
  <si>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</si>
  <si>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</si>
  <si>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</si>
  <si>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</si>
  <si>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</si>
  <si>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× รวม</t>
  </si>
  <si>
    <t xml:space="preserve">หมายเหตุ</t>
  </si>
  <si>
    <t xml:space="preserve">เริ่มเดินเครื่อง (Start-up) · OPL 5-C-2</t>
  </si>
  <si>
    <t xml:space="preserve">ปั๊ม: เสียงขณะเริ่มเดิน</t>
  </si>
  <si>
    <t xml:space="preserve">หู</t>
  </si>
  <si>
    <t xml:space="preserve">เงียบ · จ่ายน้ำมันออกปกติ</t>
  </si>
  <si>
    <t xml:space="preserve">เสียงดัง/แหลม หรือไม่จ่ายน้ำมันภายใน 20 วินาที + มีเสียงผิดปกติ → หยุดปั๊ม ตรวจระดับและอุณหภูมิน้ำมัน</t>
  </si>
  <si>
    <t xml:space="preserve">PDF p.18</t>
  </si>
  <si>
    <t xml:space="preserve">5-C-2 · EP14</t>
  </si>
  <si>
    <t xml:space="preserve">เกจแรงดัน: ค่าที่ชี้</t>
  </si>
  <si>
    <t xml:space="preserve">ตา</t>
  </si>
  <si>
    <t xml:space="preserve">ชี้ที่ค่าตั้ง (ช่อง ค่าตั้งแรงดัน) · อยู่ในแถบเขียว</t>
  </si>
  <si>
    <t xml:space="preserve">ไม่ถึง/เกินค่าตั้ง → แจ้งช่างซ่อมบำรุง *</t>
  </si>
  <si>
    <t xml:space="preserve">PDF p.18, p.26 · * ข้อเสนอ</t>
  </si>
  <si>
    <t xml:space="preserve">5-C-2 · EP14, EP18</t>
  </si>
  <si>
    <t xml:space="preserve">Filter indicator</t>
  </si>
  <si>
    <t xml:space="preserve">สีเขียว (ปกติ)</t>
  </si>
  <si>
    <t xml:space="preserve">สีเหลือง/แดง → ทำความสะอาด Filter</t>
  </si>
  <si>
    <t xml:space="preserve">PDF p.18, p.26</t>
  </si>
  <si>
    <t xml:space="preserve">5-C-2, 5-C-7 · EP14, EP18</t>
  </si>
  <si>
    <t xml:space="preserve">ขณะเดินเครื่อง (Running) · OPL 5-C-3, 5-C-8, 5-C-9</t>
  </si>
  <si>
    <t xml:space="preserve">เสียงผิดปกติ: ปั๊ม · มอเตอร์ · วาล์ว</t>
  </si>
  <si>
    <t xml:space="preserve">เสียงปกติของอุปกรณ์นั้น</t>
  </si>
  <si>
    <t xml:space="preserve">เสียงผิดปกติ → เทียบตารางเสียง (ชีท Reference) → แจ้งช่างซ่อมบำรุง *</t>
  </si>
  <si>
    <t xml:space="preserve">PDF p.18–19 · * ข้อเสนอ</t>
  </si>
  <si>
    <t xml:space="preserve">5-C-3 · EP15, EP14</t>
  </si>
  <si>
    <t xml:space="preserve">เข็มเกจแรงดันแกว่ง</t>
  </si>
  <si>
    <t xml:space="preserve">แกว่งไม่เกิน ±3 kgf/cm²</t>
  </si>
  <si>
    <t xml:space="preserve">แกว่งเกิน ±3 kgf/cm² → แจ้งช่างซ่อมบำรุง *</t>
  </si>
  <si>
    <t xml:space="preserve">PDF p.19 · * ข้อเสนอ</t>
  </si>
  <si>
    <t xml:space="preserve">5-C-3 · EP15</t>
  </si>
  <si>
    <t xml:space="preserve">สั่น/ร้อนผิดปกติ: ปั๊ม · มอเตอร์ · วาล์ว · ท่อ</t>
  </si>
  <si>
    <t xml:space="preserve">มือ</t>
  </si>
  <si>
    <t xml:space="preserve">ไม่สั่น · ไม่ร้อนผิดปกติ (ดูตารางสัมผัส ชีท Reference)</t>
  </si>
  <si>
    <t xml:space="preserve">สั่น/ร้อนผิดปกติ → แจ้งช่างซ่อมบำรุง *</t>
  </si>
  <si>
    <t xml:space="preserve">การเคลื่อนที่ (ความราบรื่น)</t>
  </si>
  <si>
    <t xml:space="preserve">ตา + นาฬิกาจับเวลา</t>
  </si>
  <si>
    <t xml:space="preserve">ราบรื่น · เวลาต่อรอบเท่าค่าปกติ (ช่อง เวลารอบปกติ)</t>
  </si>
  <si>
    <t xml:space="preserve">สะดุด/ช้าลง → แจ้งช่างซ่อมบำรุง *</t>
  </si>
  <si>
    <t xml:space="preserve">PDF p.19 · ค่าเวลา [DATA REQUIRED] · * ข้อเสนอ</t>
  </si>
  <si>
    <t xml:space="preserve">Relief valve: แรงดันวงจรขณะทำงาน</t>
  </si>
  <si>
    <t xml:space="preserve">เกจนิ่งที่ค่าตั้ง ไม่เปลี่ยน</t>
  </si>
  <si>
    <t xml:space="preserve">แรงดันเปลี่ยน → แจ้งผู้รับผิดชอบงานซ่อมบำรุง</t>
  </si>
  <si>
    <t xml:space="preserve">PDF p.28</t>
  </si>
  <si>
    <t xml:space="preserve">5-C-8 · EP19</t>
  </si>
  <si>
    <t xml:space="preserve">Solenoid valve: เสียงคราง “บูน” ขณะ ON</t>
  </si>
  <si>
    <t xml:space="preserve">ไม่มีเสียงคราง</t>
  </si>
  <si>
    <t xml:space="preserve">มีเสียงคราง → แจ้งช่างซ่อมบำรุง *</t>
  </si>
  <si>
    <t xml:space="preserve">PDF p.30 · * ข้อเสนอ</t>
  </si>
  <si>
    <t xml:space="preserve">5-C-9 · EP19</t>
  </si>
  <si>
    <t xml:space="preserve">หลังเลิกงาน · เครื่องหยุด (Work end) · OPL 5-C-1, 5-C-3, 5-C-4</t>
  </si>
  <si>
    <t xml:space="preserve">เกจแรงดัน: ชี้ 0 (ไม่มีแรงดันค้าง)</t>
  </si>
  <si>
    <t xml:space="preserve">ชี้ 0</t>
  </si>
  <si>
    <t xml:space="preserve">ไม่ชี้ 0 → ห้ามคลายข้อต่อ แจ้งช่าง * · ชี้ต่ำกว่า 0 → ต้องซ่อม</t>
  </si>
  <si>
    <t xml:space="preserve">PDF p.20, p.26 · * ข้อเสนอ</t>
  </si>
  <si>
    <t xml:space="preserve">5-C-3, 5-C-7 · EP16, EP18</t>
  </si>
  <si>
    <t xml:space="preserve">ความสกปรกภายนอก Hydraulic unit</t>
  </si>
  <si>
    <t xml:space="preserve">สะอาด ไม่มีคราบ</t>
  </si>
  <si>
    <t xml:space="preserve">สกปรก → ทำความสะอาด (ทำความสะอาด = ตรวจ)</t>
  </si>
  <si>
    <t xml:space="preserve">PDF p.17, p.20</t>
  </si>
  <si>
    <t xml:space="preserve">5-C-1 · EP13, EP16</t>
  </si>
  <si>
    <t xml:space="preserve">ถังน้ำมัน: รอยรั่ว</t>
  </si>
  <si>
    <t xml:space="preserve">ตา (เช็ดก่อน)</t>
  </si>
  <si>
    <t xml:space="preserve">ไม่มีรอยรั่ว</t>
  </si>
  <si>
    <t xml:space="preserve">รั่ว → แจ้งช่างซ่อมบำรุง *</t>
  </si>
  <si>
    <t xml:space="preserve">PDF p.20 · * ข้อเสนอ</t>
  </si>
  <si>
    <t xml:space="preserve">5-C-3 · EP16</t>
  </si>
  <si>
    <t xml:space="preserve">พื้นรอบเครื่อง: น้ำมันรั่ว</t>
  </si>
  <si>
    <t xml:space="preserve">ไม่มีคราบน้ำมัน</t>
  </si>
  <si>
    <t xml:space="preserve">มีคราบ → เช็ด + หาจุดรั่วด้านบน *</t>
  </si>
  <si>
    <t xml:space="preserve">ส่วนเลื่อน (เช่น ก้านสูบ): สิ่งสกปรกเกาะ</t>
  </si>
  <si>
    <t xml:space="preserve">ไม่มีสิ่งสกปรกเกาะ</t>
  </si>
  <si>
    <t xml:space="preserve">สกปรก → ทำความสะอาด</t>
  </si>
  <si>
    <t xml:space="preserve">PDF p.20</t>
  </si>
  <si>
    <t xml:space="preserve">ระดับน้ำมัน (ปั๊มหยุด)</t>
  </si>
  <si>
    <t xml:space="preserve">ถึงขีดบนของเกจระดับ</t>
  </si>
  <si>
    <t xml:space="preserve">ต่ำกว่าขีด → เติมถึงระดับมาตรฐาน</t>
  </si>
  <si>
    <t xml:space="preserve">PDF p.21, p.14, p.17</t>
  </si>
  <si>
    <t xml:space="preserve">5-C-4 · EP17</t>
  </si>
  <si>
    <t xml:space="preserve">สีน้ำมัน (ดูที่เกจระดับ)</t>
  </si>
  <si>
    <t xml:space="preserve">ใส ไม่มีสี = ○ · สีน้ำตาล (เริ่มเสื่อม) = △</t>
  </si>
  <si>
    <t xml:space="preserve">สีดำ → แจ้งช่างซ่อมบำรุง * · น้ำตาล → แจ้งหัวหน้างาน *</t>
  </si>
  <si>
    <t xml:space="preserve">PDF p.21 · * ข้อเสนอ · ความถี่ *</t>
  </si>
  <si>
    <t xml:space="preserve">Air breather: ไส้กรอง</t>
  </si>
  <si>
    <t xml:space="preserve">ไม่มีฝุ่น</t>
  </si>
  <si>
    <t xml:space="preserve">สกปรก → ล้างด้วยน้ำมันก๊าด หรือเปลี่ยน (ตามวัสดุไส้กรอง)</t>
  </si>
  <si>
    <t xml:space="preserve">PDF p.21 · ความถี่ *</t>
  </si>
  <si>
    <t xml:space="preserve">อุณหภูมิน้ำมัน (ปั๊มหยุด)</t>
  </si>
  <si>
    <t xml:space="preserve">มือ / เทอร์โมมิเตอร์</t>
  </si>
  <si>
    <t xml:space="preserve">&lt; 55 °C · วางฝ่ามือบนถัง/ท่อได้ ≥ 3–4 วินาที</t>
  </si>
  <si>
    <t xml:space="preserve">ร้อนเกิน → แจ้งช่างซ่อมบำรุง</t>
  </si>
  <si>
    <t xml:space="preserve">PDF p.21, p.17</t>
  </si>
  <si>
    <t xml:space="preserve">อื่นๆ ที่พบ (Others)</t>
  </si>
  <si>
    <t xml:space="preserve">ตา · หู · มือ</t>
  </si>
  <si>
    <t xml:space="preserve">ไม่พบสิ่งผิดปกติ</t>
  </si>
  <si>
    <t xml:space="preserve">พบ → ติด F-tag + บันทึกในช่องหมายเหตุ *</t>
  </si>
  <si>
    <t xml:space="preserve">PDF p.17 · * ข้อเสนอ</t>
  </si>
  <si>
    <t xml:space="preserve">5-C-1 · EP13</t>
  </si>
  <si>
    <t xml:space="preserve">จำนวน × ต่อวัน</t>
  </si>
  <si>
    <t xml:space="preserve">จำนวน △ ต่อวัน</t>
  </si>
  <si>
    <t xml:space="preserve">ผู้ตรวจ (ลงชื่อย่อ)</t>
  </si>
  <si>
    <t xml:space="preserve">หัวหน้างาน (ลงชื่อย่อ)</t>
  </si>
  <si>
    <t xml:space="preserve">AM Check Sheet — Hydraulic Unit · ตรวจรายสัปดาห์ (Weekly *)</t>
  </si>
  <si>
    <t xml:space="preserve">ความถี่สัปดาห์ละครั้ง = ข้อเสนอ (ต้นฉบับไม่ระบุ) · ตรวจขณะเครื่องหยุดและไม่มีแรงดัน · ที่มา: OPL 5-C-7 … 5-C-13 (EP18–EP21)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</si>
  <si>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</si>
  <si>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</si>
  <si>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</si>
  <si>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</si>
  <si>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</si>
  <si>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กระบอกสูบไฮดรอลิก · OPL 5-C-10</t>
  </si>
  <si>
    <t xml:space="preserve">รอยรั่ว: ข้อต่อท่อ · Dust seal (เช็ดก่อน)</t>
  </si>
  <si>
    <t xml:space="preserve">แห้ง ไม่มีคราบ/หยด</t>
  </si>
  <si>
    <t xml:space="preserve">PDF p.31</t>
  </si>
  <si>
    <t xml:space="preserve">5-C-10 · EP20</t>
  </si>
  <si>
    <t xml:space="preserve">โบลต์/น็อตของกระบอกสูบ</t>
  </si>
  <si>
    <t xml:space="preserve">ตา · มือ</t>
  </si>
  <si>
    <t xml:space="preserve">ไม่หลวม</t>
  </si>
  <si>
    <t xml:space="preserve">หลวม → แจ้งช่างซ่อมบำรุง *</t>
  </si>
  <si>
    <t xml:space="preserve">ก้านสูบ (Rod): รอยขีดข่วน</t>
  </si>
  <si>
    <t xml:space="preserve">เงาเหมือนกระจก</t>
  </si>
  <si>
    <t xml:space="preserve">มีรอยขีดข่วน → แจ้งช่างซ่อมบำรุง *</t>
  </si>
  <si>
    <t xml:space="preserve">Dust seal: ฉีก/สึก</t>
  </si>
  <si>
    <t xml:space="preserve">ไม่ฉีก ไม่สึก</t>
  </si>
  <si>
    <t xml:space="preserve">ฉีก/สึก → แจ้งช่างซ่อมบำรุง *</t>
  </si>
  <si>
    <t xml:space="preserve">สายแรงดันสูง (High-pressure hose) · OPL 5-C-12, 5-C-13</t>
  </si>
  <si>
    <t xml:space="preserve">สายงอชิดข้อต่อ / ลวดเสริมขาด</t>
  </si>
  <si>
    <t xml:space="preserve">ไม่งอชิดข้อต่อ · ลวดไม่ขาด</t>
  </si>
  <si>
    <t xml:space="preserve">พบ → หยุดใช้ แจ้งช่างซ่อมบำรุง *</t>
  </si>
  <si>
    <t xml:space="preserve">PDF p.33</t>
  </si>
  <si>
    <t xml:space="preserve">5-C-12 · EP21</t>
  </si>
  <si>
    <t xml:space="preserve">สายบวม (มักเกิดภายใน 500 mm จากข้อต่อ)</t>
  </si>
  <si>
    <t xml:space="preserve">ไม่บวม</t>
  </si>
  <si>
    <t xml:space="preserve">บวม → หยุดใช้ แจ้งช่างซ่อมบำรุง *</t>
  </si>
  <si>
    <t xml:space="preserve">Lock clamp หลวม/คลอน · สายสัมผัสส่วนที่เคลื่อนไหว</t>
  </si>
  <si>
    <t xml:space="preserve">ตา · มือ (ไม่มีแรงดัน)</t>
  </si>
  <si>
    <t xml:space="preserve">แคลมป์แน่น · สายไม่สัมผัสส่วนเคลื่อนไหว</t>
  </si>
  <si>
    <t xml:space="preserve">หลวม/สัมผัส → แจ้งช่างซ่อมบำรุง *</t>
  </si>
  <si>
    <t xml:space="preserve">การติดตั้งสาย</t>
  </si>
  <si>
    <t xml:space="preserve">ไม่บิด · แนวตรงหย่อนเล็กน้อย · มี Band กันเสียดสี · ไม่งอชิดปลาย</t>
  </si>
  <si>
    <t xml:space="preserve">ผิดจากเกณฑ์ → แจ้งช่างซ่อมบำรุง *</t>
  </si>
  <si>
    <t xml:space="preserve">PDF p.33–34</t>
  </si>
  <si>
    <t xml:space="preserve">5-C-12, 5-C-13 · EP21</t>
  </si>
  <si>
    <t xml:space="preserve">Relief valve / Solenoid valve · OPL 5-C-8, 5-C-9</t>
  </si>
  <si>
    <t xml:space="preserve">Relief valve: น้ำมันรั่วจากแต่ละส่วน</t>
  </si>
  <si>
    <t xml:space="preserve">ไม่รั่ว</t>
  </si>
  <si>
    <t xml:space="preserve">รั่ว → แจ้งผู้รับผิดชอบงานซ่อมบำรุง</t>
  </si>
  <si>
    <t xml:space="preserve">Solenoid valve: รั่วที่ตัววาล์ว/ฐานติดตั้ง (เช็ดด้วยผ้าก่อน)</t>
  </si>
  <si>
    <t xml:space="preserve">PDF p.30</t>
  </si>
  <si>
    <t xml:space="preserve">Solenoid valve: โบลต์/สกรูหลวม</t>
  </si>
  <si>
    <t xml:space="preserve">Solenoid valve: สายไฟ/จุดต่อเสียหาย</t>
  </si>
  <si>
    <t xml:space="preserve">สายไม่ชำรุด จุดต่อแน่น</t>
  </si>
  <si>
    <t xml:space="preserve">ชำรุด → แจ้งช่างไฟฟ้า *</t>
  </si>
  <si>
    <t xml:space="preserve">Visual control ของมิเตอร์ · OPL 5-C-7</t>
  </si>
  <si>
    <t xml:space="preserve">แถบสีเขียว/แดง บนเกจแรงดันและเทอร์โมมิเตอร์</t>
  </si>
  <si>
    <t xml:space="preserve">แถบสีครบ ชัดเจน ไม่เลยขอบสเกล</t>
  </si>
  <si>
    <t xml:space="preserve">ซีด/หลุด → ทำใหม่ (ถอดกระจกขณะไม่มีแรงดัน) *</t>
  </si>
  <si>
    <t xml:space="preserve">PDF p.26 · * ข้อเสนอ</t>
  </si>
  <si>
    <t xml:space="preserve">5-C-7 · EP18</t>
  </si>
  <si>
    <t xml:space="preserve">จำนวน × ต่อสัปดาห์</t>
  </si>
  <si>
    <t xml:space="preserve">AM / PM Check Sheet — Hydraulic Unit · ตรวจตามรอบ (Periodic)</t>
  </si>
  <si>
    <t xml:space="preserve">Filter ทุก 6 เดือน (PDF p.26) · Regular check (PDF p.17) · Relief valve function check (PDF p.28) — ช่องสีเหลือง = กำหนดความถี่/ผู้ตรวจ</t>
  </si>
  <si>
    <t xml:space="preserve">ปี</t>
  </si>
  <si>
    <t xml:space="preserve">ความถี่</t>
  </si>
  <si>
    <t xml:space="preserve">ม.ค.</t>
  </si>
  <si>
    <t xml:space="preserve">ก.พ.</t>
  </si>
  <si>
    <t xml:space="preserve">มี.ค.</t>
  </si>
  <si>
    <t xml:space="preserve">เม.ย.</t>
  </si>
  <si>
    <t xml:space="preserve">พ.ค.</t>
  </si>
  <si>
    <t xml:space="preserve">มิ.ย.</t>
  </si>
  <si>
    <t xml:space="preserve">ก.ค.</t>
  </si>
  <si>
    <t xml:space="preserve">ส.ค.</t>
  </si>
  <si>
    <t xml:space="preserve">ก.ย.</t>
  </si>
  <si>
    <t xml:space="preserve">ต.ค.</t>
  </si>
  <si>
    <t xml:space="preserve">พ.ย.</t>
  </si>
  <si>
    <t xml:space="preserve">ธ.ค.</t>
  </si>
  <si>
    <t xml:space="preserve">Filter · OPL 5-C-7 (ทุก 6 เดือน)</t>
  </si>
  <si>
    <t xml:space="preserve">Filter: Vacuum meter</t>
  </si>
  <si>
    <t xml:space="preserve">ทุก 6 เดือน</t>
  </si>
  <si>
    <t xml:space="preserve">≤ 10 cmHg</t>
  </si>
  <si>
    <t xml:space="preserve">เกิน 10 cmHg → ทำความสะอาด Filter</t>
  </si>
  <si>
    <t xml:space="preserve">PDF p.26</t>
  </si>
  <si>
    <t xml:space="preserve">Filter: Indicator</t>
  </si>
  <si>
    <t xml:space="preserve">สีเขียว</t>
  </si>
  <si>
    <t xml:space="preserve">Regular check · OPL 5-C-1 (ความถี่และผู้ตรวจ: กำหนดโดยหัวหน้างาน)</t>
  </si>
  <si>
    <t xml:space="preserve">ระดับความสกปรกของน้ำมัน (Contamination level)</t>
  </si>
  <si>
    <t xml:space="preserve">หาสาเหตุของความผิดปกติเล็กๆ จาก Daily check</t>
  </si>
  <si>
    <t xml:space="preserve">PDF p.17</t>
  </si>
  <si>
    <t xml:space="preserve">ความสกปรกของ Filter (Filter dirt)</t>
  </si>
  <si>
    <t xml:space="preserve">หาสาเหตุ · ทำความสะอาด/เปลี่ยน</t>
  </si>
  <si>
    <t xml:space="preserve">Stopper bolt คลาย</t>
  </si>
  <si>
    <t xml:space="preserve">ไม่คลาย</t>
  </si>
  <si>
    <t xml:space="preserve">คลาย → ขันตามค่าที่กำหนด</t>
  </si>
  <si>
    <t xml:space="preserve">Seal packing เสื่อม</t>
  </si>
  <si>
    <t xml:space="preserve">ไม่เสื่อม</t>
  </si>
  <si>
    <t xml:space="preserve">เสื่อม → เปลี่ยน</t>
  </si>
  <si>
    <t xml:space="preserve">Relief valve function check · OPL 5-C-8 (ผู้ได้รับมอบหมายเท่านั้น *)</t>
  </si>
  <si>
    <t xml:space="preserve">หมุน Handle ดูเกจ: ขันเข้า → แรงดันเพิ่ม · คลายออก → ลด แล้วตั้งกลับค่าตั้ง + ขัน Lock nut</t>
  </si>
  <si>
    <t xml:space="preserve">แรงดันเปลี่ยนตาม Handle · ตั้งกลับค่าตั้งได้</t>
  </si>
  <si>
    <t xml:space="preserve">ไม่เปลี่ยน/ตั้งไม่ได้ → แจ้งผู้รับผิดชอบงานซ่อมบำรุง</t>
  </si>
  <si>
    <t xml:space="preserve">PDF p.28 · ผู้ทำ * ข้อเสนอ</t>
  </si>
  <si>
    <t xml:space="preserve">5-C-8 · EP19, EP05</t>
  </si>
  <si>
    <t xml:space="preserve">จำนวน × ต่อเดือน</t>
  </si>
  <si>
    <t xml:space="preserve">Reference — เกณฑ์ประกอบการตรวจ</t>
  </si>
  <si>
    <t xml:space="preserve">ตัวเลขตามต้นฉบับ OPL 5-C-2, 5-C-3, 5-C-7 · ใช้ประกอบข้อ “เสียง” “สั่น/ร้อน” “อุณหภูมิน้ำมัน”</t>
  </si>
  <si>
    <t xml:space="preserve">A. สังเกตอุณหภูมิด้วยการสัมผัส (Sense of feeling) — PDF p.19</t>
  </si>
  <si>
    <t xml:space="preserve">ความรู้สึก</t>
  </si>
  <si>
    <t xml:space="preserve">วางมือได้</t>
  </si>
  <si>
    <t xml:space="preserve">อุณหภูมิ</t>
  </si>
  <si>
    <t xml:space="preserve">อุ่นเล็กน้อย (Little warm)</t>
  </si>
  <si>
    <t xml:space="preserve">—</t>
  </si>
  <si>
    <t xml:space="preserve">ประมาณ 32 °C</t>
  </si>
  <si>
    <t xml:space="preserve">อุ่น (Warm)</t>
  </si>
  <si>
    <t xml:space="preserve">ประมาณ 38 °C</t>
  </si>
  <si>
    <t xml:space="preserve">รู้สึกร้อน (Feel hot)</t>
  </si>
  <si>
    <t xml:space="preserve">วางมือได้นานกว่า 1 นาที</t>
  </si>
  <si>
    <t xml:space="preserve">ประมาณ 48 °C</t>
  </si>
  <si>
    <t xml:space="preserve">ร้อนมาก (Considerably hot)</t>
  </si>
  <si>
    <t xml:space="preserve">วางมือได้ประมาณ 15 วินาที</t>
  </si>
  <si>
    <t xml:space="preserve">ประมาณ 58 °C</t>
  </si>
  <si>
    <t xml:space="preserve">ร้อน (Hot)</t>
  </si>
  <si>
    <t xml:space="preserve">วางมือได้ประมาณ 3 วินาที</t>
  </si>
  <si>
    <t xml:space="preserve">56–59 °C</t>
  </si>
  <si>
    <t xml:space="preserve">วางมือได้ไม่ถึง 3 วินาที</t>
  </si>
  <si>
    <t xml:space="preserve">สูงกว่า 60 °C</t>
  </si>
  <si>
    <t xml:space="preserve">หมายเหตุ: แถว 58 °C กับ 56–59 °C ทับกันในต้นฉบับ — ดูชีท To_Confirm</t>
  </si>
  <si>
    <t xml:space="preserve">B. ช่วงอุณหภูมิน้ำมันไฮดรอลิก — PDF p.26 (เกณฑ์ตรวจประจำวัน: &lt; 55 °C ขณะปั๊มหยุด, p.21)</t>
  </si>
  <si>
    <t xml:space="preserve">ช่วง</t>
  </si>
  <si>
    <t xml:space="preserve">ระดับ</t>
  </si>
  <si>
    <t xml:space="preserve">ความหมาย</t>
  </si>
  <si>
    <t xml:space="preserve">80–100 °C</t>
  </si>
  <si>
    <t xml:space="preserve">อันตราย (Dangerous)</t>
  </si>
  <si>
    <t xml:space="preserve">ห้ามใช้</t>
  </si>
  <si>
    <t xml:space="preserve">65–80 °C</t>
  </si>
  <si>
    <t xml:space="preserve">ขีดจำกัด (Limit)</t>
  </si>
  <si>
    <t xml:space="preserve">อายุน้ำมันสั้น · ทุก +8 °C อายุน้ำมันลดครึ่ง</t>
  </si>
  <si>
    <t xml:space="preserve">55–65 °C</t>
  </si>
  <si>
    <t xml:space="preserve">เตือน (Warning)</t>
  </si>
  <si>
    <t xml:space="preserve">ต้องติดตั้ง Oil cooler</t>
  </si>
  <si>
    <t xml:space="preserve">46–55 °C</t>
  </si>
  <si>
    <t xml:space="preserve">ปลอดภัย (Safety)</t>
  </si>
  <si>
    <t xml:space="preserve">ปรับให้อยู่ในช่วงอุณหภูมิที่เหมาะสม</t>
  </si>
  <si>
    <t xml:space="preserve">30–46 °C</t>
  </si>
  <si>
    <t xml:space="preserve">เหมาะสม (Ideal)</t>
  </si>
  <si>
    <t xml:space="preserve">20–30 °C</t>
  </si>
  <si>
    <t xml:space="preserve">อุณหภูมิปกติ (Normal)</t>
  </si>
  <si>
    <t xml:space="preserve">ประสิทธิภาพลดลงเพราะน้ำมันหนืด</t>
  </si>
  <si>
    <t xml:space="preserve">&lt; 20 °C</t>
  </si>
  <si>
    <t xml:space="preserve">ต่ำ (Low)</t>
  </si>
  <si>
    <t xml:space="preserve">อันตรายตอนเริ่มเดินเครื่อง</t>
  </si>
  <si>
    <t xml:space="preserve">หมายเหตุ: เส้นแบ่งช่วงอ่านจากรูปในต้นฉบับ — ดูชีท To_Confirm</t>
  </si>
  <si>
    <t xml:space="preserve">C. ชนิดเสียงผิดปกติของอุปกรณ์ไฮดรอลิก — PDF p.18</t>
  </si>
  <si>
    <t xml:space="preserve">ชนิดเสียง</t>
  </si>
  <si>
    <t xml:space="preserve">เสียง</t>
  </si>
  <si>
    <t xml:space="preserve">ลักษณะ</t>
  </si>
  <si>
    <t xml:space="preserve">สาเหตุที่คาดได้</t>
  </si>
  <si>
    <t xml:space="preserve">Cavitation</t>
  </si>
  <si>
    <t xml:space="preserve">ก้า… (Ga)</t>
  </si>
  <si>
    <t xml:space="preserve">ต่อเนื่อง</t>
  </si>
  <si>
    <t xml:space="preserve">Suction filter ตัน · ท่อดูดเล็ก/ยาว · Suction head สูง · น้ำมันเย็น (หนืดสูง)</t>
  </si>
  <si>
    <t xml:space="preserve">เสียงเสียดสี (Frictional)</t>
  </si>
  <si>
    <t xml:space="preserve">ซ่า-จ่า (Za-Ja)</t>
  </si>
  <si>
    <t xml:space="preserve">ชิ้นส่วนในปั๊มสึก · Coupling เยื้องศูนย์</t>
  </si>
  <si>
    <t xml:space="preserve">เสียงไหล (Flow)</t>
  </si>
  <si>
    <t xml:space="preserve">ฟู่ (Hiss)</t>
  </si>
  <si>
    <t xml:space="preserve">อัตราไหลเกิน (เสียงที่ Cushion ของกระบอกสูบ)</t>
  </si>
  <si>
    <t xml:space="preserve">Coupling</t>
  </si>
  <si>
    <t xml:space="preserve">กะตะ กะตะ (Cata)</t>
  </si>
  <si>
    <t xml:space="preserve">เยื้องศูนย์ · Key สึก · Shaft fitting ไม่ดี · จาระบีหมด · Chain สึก</t>
  </si>
  <si>
    <t xml:space="preserve">เสียงรบกวน (Interference)</t>
  </si>
  <si>
    <t xml:space="preserve">การสั่น · การสั่นพ้อง (Ringing)</t>
  </si>
  <si>
    <t xml:space="preserve">เสียงอากาศ (Air)</t>
  </si>
  <si>
    <t xml:space="preserve">ป๊อก ป๊อก (plock)</t>
  </si>
  <si>
    <t xml:space="preserve">เป็นช่วงๆ</t>
  </si>
  <si>
    <t xml:space="preserve">อากาศเข้าที่ข้อต่อท่อ · Oil seal ปั๊มสึก · น้ำมันหมด · ท่อกลับผิดปกติ</t>
  </si>
  <si>
    <t xml:space="preserve">Solenoid valve คราง</t>
  </si>
  <si>
    <t xml:space="preserve">บูน (Boone)</t>
  </si>
  <si>
    <t xml:space="preserve">Spool เลื่อนไม่สุด · แรงดันไฟตก · แรงดูด Solenoid ไม่พอ</t>
  </si>
  <si>
    <t xml:space="preserve">D. สีน้ำมันไฮดรอลิก — PDF p.21</t>
  </si>
  <si>
    <t xml:space="preserve">สี</t>
  </si>
  <si>
    <t xml:space="preserve">ผลตรวจ</t>
  </si>
  <si>
    <t xml:space="preserve">ใส ไม่มีสี</t>
  </si>
  <si>
    <t xml:space="preserve">น้ำมันใหม่</t>
  </si>
  <si>
    <t xml:space="preserve">○</t>
  </si>
  <si>
    <t xml:space="preserve">สีน้ำตาล</t>
  </si>
  <si>
    <t xml:space="preserve">น้ำมันเริ่มเสื่อม</t>
  </si>
  <si>
    <t xml:space="preserve">△ *</t>
  </si>
  <si>
    <t xml:space="preserve">สีดำ</t>
  </si>
  <si>
    <t xml:space="preserve">ตรวจว่าเปลี่ยนเป็นสีดำหรือไม่</t>
  </si>
  <si>
    <t xml:space="preserve">× *</t>
  </si>
  <si>
    <t xml:space="preserve">To Confirm — ประเด็นที่ต้องยืนยันก่อนใช้จริง</t>
  </si>
  <si>
    <t xml:space="preserve">ให้หัวหน้างาน / ฝ่ายซ่อมบำรุง / Safety ยืนยัน แล้วแก้ในชีทที่เกี่ยวข้อง</t>
  </si>
  <si>
    <t xml:space="preserve">ประเด็น</t>
  </si>
  <si>
    <t xml:space="preserve">รายละเอียด</t>
  </si>
  <si>
    <t xml:space="preserve">ที่มา / สถานะ</t>
  </si>
  <si>
    <t xml:space="preserve">ผู้ยืนยัน</t>
  </si>
  <si>
    <t xml:space="preserve">วันที่</t>
  </si>
  <si>
    <t xml:space="preserve">ผล / ค่าที่ใช้</t>
  </si>
  <si>
    <t xml:space="preserve">ค่าตั้งแรงดันของเครื่อง (kgf/cm²) และแถบเขียวบนเกจ</t>
  </si>
  <si>
    <t xml:space="preserve">ใช้ในข้อ เกจแรงดัน: ค่าที่ชี้</t>
  </si>
  <si>
    <t xml:space="preserve">[DATA REQUIRED] · PDF p.18, p.26</t>
  </si>
  <si>
    <t xml:space="preserve">เวลาต่อรอบปกติของการเคลื่อนที่ (วินาที)</t>
  </si>
  <si>
    <t xml:space="preserve">ใช้ในข้อ การเคลื่อนที่</t>
  </si>
  <si>
    <t xml:space="preserve">[DATA REQUIRED] · PDF p.19</t>
  </si>
  <si>
    <t xml:space="preserve">วิธีปฏิบัติเมื่อ NG ที่มี * (แจ้งช่าง / ห้ามคลายข้อต่อ / หยุดใช้)</t>
  </si>
  <si>
    <t xml:space="preserve">ต้นฉบับบอกจุดตรวจ แต่ส่วนใหญ่ไม่ระบุวิธีปฏิบัติ</t>
  </si>
  <si>
    <t xml:space="preserve">ข้อเสนอ</t>
  </si>
  <si>
    <t xml:space="preserve">ความถี่ของชีท Weekly_Check (สัปดาห์ละครั้ง) และความถี่สีน้ำมัน / Air breather</t>
  </si>
  <si>
    <t xml:space="preserve">ต้นฉบับไม่ระบุความถี่</t>
  </si>
  <si>
    <t xml:space="preserve">ผู้ตรวจ Regular check และ Relief valve function check</t>
  </si>
  <si>
    <t xml:space="preserve">ต้นฉบับข้อ 5 หน้า 28 ให้ตรวจข้อ 1–4 · ชุดนี้ให้ผู้ได้รับมอบหมายทำข้อ 1–2</t>
  </si>
  <si>
    <t xml:space="preserve">ข้อเสนอ · ให้สอดคล้อง EP05/EP19</t>
  </si>
  <si>
    <t xml:space="preserve">ขอบเขตช่วงอุณหภูมิน้ำมัน (ชีท Reference)</t>
  </si>
  <si>
    <t xml:space="preserve">อ่านจากรูปหน้า 26 ซึ่งเส้นแบ่งบางช่วงไม่ชัด</t>
  </si>
  <si>
    <t xml:space="preserve">PDF p.26 · ตรวจกับต้นฉบับญี่ปุ่น</t>
  </si>
  <si>
    <t xml:space="preserve">ตารางสัมผัส: แถว 58 °C กับ 56–59 °C ทับกัน</t>
  </si>
  <si>
    <t xml:space="preserve">แสดงตามต้นฉบับ</t>
  </si>
  <si>
    <t xml:space="preserve">PDF p.19 · ตรวจกับต้นฉบับญี่ปุ่น</t>
  </si>
  <si>
    <r>
      <rPr>
        <sz val="9"/>
        <color rgb="FF1A1D21"/>
        <rFont val="Tahoma"/>
        <family val="0"/>
        <charset val="1"/>
      </rPr>
      <t xml:space="preserve">ข้อ 6 ของ Daily check “Oil sound up” = อุณหภูมิน้ำมันสูงขึ้น (</t>
    </r>
    <r>
      <rPr>
        <sz val="9"/>
        <color rgb="FF1A1D21"/>
        <rFont val="WenQuanYi Zen Hei"/>
        <family val="2"/>
      </rPr>
      <t xml:space="preserve">油温上昇</t>
    </r>
    <r>
      <rPr>
        <sz val="9"/>
        <color rgb="FF1A1D21"/>
        <rFont val="Tahoma"/>
        <family val="0"/>
        <charset val="1"/>
      </rPr>
      <t xml:space="preserve">)</t>
    </r>
  </si>
  <si>
    <t xml:space="preserve">ใช้ในข้อ อุณหภูมิน้ำมัน</t>
  </si>
  <si>
    <t xml:space="preserve">แก้คำแปล PDF p.17</t>
  </si>
  <si>
    <t xml:space="preserve">เกณฑ์เลือกสเกลเกจ: แรงดันแกว่งมาก → ไม่เกิน 1/2 ของสเกลเต็ม</t>
  </si>
  <si>
    <t xml:space="preserve">ต้นฉบับเขียน “more than 1/2”</t>
  </si>
  <si>
    <t xml:space="preserve">แก้คำแปล PDF p.25 · แนวปฏิบัติ JIS</t>
  </si>
  <si>
    <t xml:space="preserve">สายแรงดันสูงยืดหด “24%” ตามแรงดัน</t>
  </si>
  <si>
    <t xml:space="preserve">น่าจะเป็น 2–4% · ไม่ได้ใช้เป็นเกณฑ์ในชีท</t>
  </si>
  <si>
    <t xml:space="preserve">PDF p.33 · ตรวจกับต้นฉบับ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</si>
</sst>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Tahoma"/>
      <family val="0"/>
      <charset val="1"/>
    </font>
    <font>
      <b val="true"/>
      <sz val="15"/>
      <color rgb="FFFFFFFF"/>
      <name val="WenQuanYi Zen Hei"/>
      <family val="2"/>
    </font>
    <font>
      <i val="true"/>
      <sz val="9"/>
      <color rgb="FF5A6775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b val="true"/>
      <sz val="10"/>
      <color rgb="FF1A1D21"/>
      <name val="Tahoma"/>
      <family val="0"/>
      <charset val="1"/>
    </font>
    <font>
      <sz val="10"/>
      <color rgb="FF1A1D21"/>
      <name val="Tahoma"/>
      <family val="0"/>
      <charset val="1"/>
    </font>
    <font>
      <b val="true"/>
      <sz val="9"/>
      <color rgb="FF1A1D21"/>
      <name val="Tahoma"/>
      <family val="0"/>
      <charset val="1"/>
    </font>
    <font>
      <i val="true"/>
      <sz val="9"/>
      <color rgb="FFB07A00"/>
      <name val="Tahoma"/>
      <family val="0"/>
      <charset val="1"/>
    </font>
    <font>
      <b val="true"/>
      <sz val="9"/>
      <color rgb="FFFFFFFF"/>
      <name val="Tahoma"/>
      <family val="0"/>
      <charset val="1"/>
    </font>
    <font>
      <b val="true"/>
      <sz val="10"/>
      <color rgb="FF1F5FBF"/>
      <name val="Tahoma"/>
      <family val="0"/>
      <charset val="1"/>
    </font>
    <font>
      <sz val="9"/>
      <color rgb="FF1A1D21"/>
      <name val="Tahoma"/>
      <family val="0"/>
      <charset val="1"/>
    </font>
    <font>
      <sz val="9"/>
      <color rgb="FFB07A00"/>
      <name val="Tahoma"/>
      <family val="0"/>
      <charset val="1"/>
    </font>
    <font>
      <b val="true"/>
      <sz val="11"/>
      <color rgb="FF1F5FBF"/>
      <name val="Tahoma"/>
      <family val="0"/>
      <charset val="1"/>
    </font>
    <font>
      <i val="true"/>
      <sz val="8"/>
      <color rgb="FFB07A00"/>
      <name val="Tahoma"/>
      <family val="0"/>
      <charset val="1"/>
    </font>
    <font>
      <sz val="9"/>
      <color rgb="FF1A1D21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1F2A36"/>
        <bgColor rgb="FF1A1D21"/>
      </patternFill>
    </fill>
    <fill>
      <patternFill patternType="solid">
        <fgColor rgb="FFFFFF00"/>
        <bgColor rgb="FFFFFF00"/>
      </patternFill>
    </fill>
    <fill>
      <patternFill patternType="solid">
        <fgColor rgb="FFE3ECF9"/>
        <bgColor rgb="FFF2F2F2"/>
      </patternFill>
    </fill>
    <fill>
      <patternFill patternType="solid">
        <fgColor rgb="FFF2F2F2"/>
        <bgColor rgb="FFE3EC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1AA"/>
      </left>
      <right style="thin">
        <color rgb="FF9AA1AA"/>
      </right>
      <top style="thin">
        <color rgb="FF9AA1AA"/>
      </top>
      <bottom style="thin">
        <color rgb="FF9AA1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Tahoma"/>
        <charset val="1"/>
        <family val="0"/>
        <b val="1"/>
        <color rgb="FFC32A3E"/>
      </font>
      <fill>
        <patternFill>
          <bgColor rgb="FFF8C9CF"/>
        </patternFill>
      </fill>
    </dxf>
    <dxf>
      <font>
        <name val="Tahoma"/>
        <charset val="1"/>
        <family val="0"/>
        <b val="1"/>
        <color rgb="FF8A5A00"/>
      </font>
      <fill>
        <patternFill>
          <bgColor rgb="FFFCE7B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7A00"/>
      <rgbColor rgb="FF800080"/>
      <rgbColor rgb="FF008080"/>
      <rgbColor rgb="FFC0C0C0"/>
      <rgbColor rgb="FF808080"/>
      <rgbColor rgb="FF9999FF"/>
      <rgbColor rgb="FFC32A3E"/>
      <rgbColor rgb="FFF2F2F2"/>
      <rgbColor rgb="FFE3ECF9"/>
      <rgbColor rgb="FF660066"/>
      <rgbColor rgb="FFFF8080"/>
      <rgbColor rgb="FF1F5FB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7B2"/>
      <rgbColor rgb="FF99CCFF"/>
      <rgbColor rgb="FFFF99CC"/>
      <rgbColor rgb="FFCC99FF"/>
      <rgbColor rgb="FFF8C9CF"/>
      <rgbColor rgb="FF3366FF"/>
      <rgbColor rgb="FF33CCCC"/>
      <rgbColor rgb="FF99CC00"/>
      <rgbColor rgb="FFFFCC00"/>
      <rgbColor rgb="FFFF9900"/>
      <rgbColor rgb="FFFF6600"/>
      <rgbColor rgb="FF5A6775"/>
      <rgbColor rgb="FF9AA1AA"/>
      <rgbColor rgb="FF003366"/>
      <rgbColor rgb="FF339966"/>
      <rgbColor rgb="FF003300"/>
      <rgbColor rgb="FF1A1D21"/>
      <rgbColor rgb="FF8A5A00"/>
      <rgbColor rgb="FF993366"/>
      <rgbColor rgb="FF333399"/>
      <rgbColor rgb="FF1F2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2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1.9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33.75" hidden="false" customHeight="true" outlineLevel="0" collapsed="false">
      <c r="A4" s="3" t="s">
        <v>2</v>
      </c>
      <c r="B4" s="3" t="s">
        <v>3</v>
      </c>
      <c r="C4" s="3"/>
      <c r="D4" s="3"/>
      <c r="E4" s="3"/>
      <c r="F4" s="3"/>
    </row>
    <row r="5" customFormat="false" ht="33.75" hidden="false" customHeight="true" outlineLevel="0" collapsed="false">
      <c r="A5" s="4" t="s">
        <v>4</v>
      </c>
      <c r="B5" s="5" t="s">
        <v>5</v>
      </c>
      <c r="C5" s="5"/>
      <c r="D5" s="5"/>
      <c r="E5" s="5"/>
      <c r="F5" s="5"/>
    </row>
    <row r="6" customFormat="false" ht="33.75" hidden="false" customHeight="true" outlineLevel="0" collapsed="false">
      <c r="A6" s="4" t="s">
        <v>6</v>
      </c>
      <c r="B6" s="5" t="s">
        <v>7</v>
      </c>
      <c r="C6" s="5"/>
      <c r="D6" s="5"/>
      <c r="E6" s="5"/>
      <c r="F6" s="5"/>
    </row>
    <row r="7" customFormat="false" ht="33.75" hidden="false" customHeight="true" outlineLevel="0" collapsed="false">
      <c r="A7" s="4" t="s">
        <v>8</v>
      </c>
      <c r="B7" s="5" t="s">
        <v>9</v>
      </c>
      <c r="C7" s="5"/>
      <c r="D7" s="5"/>
      <c r="E7" s="5"/>
      <c r="F7" s="5"/>
    </row>
    <row r="8" customFormat="false" ht="33.75" hidden="false" customHeight="true" outlineLevel="0" collapsed="false">
      <c r="A8" s="4" t="s">
        <v>10</v>
      </c>
      <c r="B8" s="5" t="s">
        <v>11</v>
      </c>
      <c r="C8" s="5"/>
      <c r="D8" s="5"/>
      <c r="E8" s="5"/>
      <c r="F8" s="5"/>
    </row>
    <row r="9" customFormat="false" ht="33.75" hidden="false" customHeight="true" outlineLevel="0" collapsed="false">
      <c r="A9" s="4" t="s">
        <v>12</v>
      </c>
      <c r="B9" s="5" t="s">
        <v>13</v>
      </c>
      <c r="C9" s="5"/>
      <c r="D9" s="5"/>
      <c r="E9" s="5"/>
      <c r="F9" s="5"/>
    </row>
    <row r="10" customFormat="false" ht="9.75" hidden="false" customHeight="true" outlineLevel="0" collapsed="false">
      <c r="A10" s="6"/>
      <c r="B10" s="7"/>
      <c r="C10" s="7"/>
      <c r="D10" s="7"/>
      <c r="E10" s="7"/>
      <c r="F10" s="7"/>
    </row>
    <row r="11" customFormat="false" ht="33.75" hidden="false" customHeight="true" outlineLevel="0" collapsed="false">
      <c r="A11" s="4" t="s">
        <v>14</v>
      </c>
      <c r="B11" s="5" t="s">
        <v>15</v>
      </c>
      <c r="C11" s="5"/>
      <c r="D11" s="5"/>
      <c r="E11" s="5"/>
      <c r="F11" s="5"/>
    </row>
    <row r="12" customFormat="false" ht="33.75" hidden="false" customHeight="true" outlineLevel="0" collapsed="false">
      <c r="A12" s="4" t="s">
        <v>16</v>
      </c>
      <c r="B12" s="8" t="s">
        <v>17</v>
      </c>
      <c r="C12" s="8"/>
      <c r="D12" s="8"/>
      <c r="E12" s="8"/>
      <c r="F12" s="8"/>
    </row>
    <row r="13" customFormat="false" ht="33.75" hidden="false" customHeight="true" outlineLevel="0" collapsed="false">
      <c r="A13" s="4" t="s">
        <v>18</v>
      </c>
      <c r="B13" s="5" t="s">
        <v>19</v>
      </c>
      <c r="C13" s="5"/>
      <c r="D13" s="5"/>
      <c r="E13" s="5"/>
      <c r="F13" s="5"/>
    </row>
    <row r="14" customFormat="false" ht="33.75" hidden="false" customHeight="true" outlineLevel="0" collapsed="false">
      <c r="A14" s="4" t="s">
        <v>20</v>
      </c>
      <c r="B14" s="5" t="s">
        <v>21</v>
      </c>
      <c r="C14" s="5"/>
      <c r="D14" s="5"/>
      <c r="E14" s="5"/>
      <c r="F14" s="5"/>
    </row>
    <row r="15" customFormat="false" ht="33.75" hidden="false" customHeight="true" outlineLevel="0" collapsed="false">
      <c r="A15" s="4" t="s">
        <v>22</v>
      </c>
      <c r="B15" s="5" t="s">
        <v>23</v>
      </c>
      <c r="C15" s="5"/>
      <c r="D15" s="5"/>
      <c r="E15" s="5"/>
      <c r="F15" s="5"/>
    </row>
    <row r="16" customFormat="false" ht="33.75" hidden="false" customHeight="true" outlineLevel="0" collapsed="false">
      <c r="A16" s="4" t="s">
        <v>24</v>
      </c>
      <c r="B16" s="5" t="s">
        <v>25</v>
      </c>
      <c r="C16" s="5"/>
      <c r="D16" s="5"/>
      <c r="E16" s="5"/>
      <c r="F16" s="5"/>
    </row>
  </sheetData>
  <mergeCells count="15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</mergeCells>
  <printOptions headings="false" gridLines="false" gridLinesSet="true" horizontalCentered="true" verticalCentered="false"/>
  <pageMargins left="0.3" right="0.3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28"/>
    <col collapsed="false" customWidth="true" hidden="false" outlineLevel="0" max="5" min="5" style="0" width="34"/>
    <col collapsed="false" customWidth="true" hidden="false" outlineLevel="0" max="6" min="6" style="0" width="17"/>
    <col collapsed="false" customWidth="true" hidden="false" outlineLevel="0" max="7" min="7" style="0" width="15"/>
    <col collapsed="false" customWidth="true" hidden="false" outlineLevel="0" max="38" min="8" style="0" width="3.6"/>
    <col collapsed="false" customWidth="true" hidden="false" outlineLevel="0" max="39" min="39" style="0" width="7"/>
    <col collapsed="false" customWidth="true" hidden="false" outlineLevel="0" max="40" min="40" style="0" width="26"/>
  </cols>
  <sheetData>
    <row r="1" customFormat="false" ht="30" hidden="false" customHeight="true" outlineLevel="0" collapsed="false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customFormat="false" ht="11.9" hidden="false" customHeight="false" outlineLevel="0" collapsed="false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customFormat="false" ht="19.5" hidden="false" customHeight="true" outlineLevel="0" collapsed="false">
      <c r="B3" s="9" t="s">
        <v>28</v>
      </c>
      <c r="C3" s="10"/>
      <c r="D3" s="10"/>
      <c r="E3" s="9" t="s">
        <v>29</v>
      </c>
      <c r="F3" s="10"/>
      <c r="G3" s="10"/>
    </row>
    <row r="4" customFormat="false" ht="19.5" hidden="false" customHeight="true" outlineLevel="0" collapsed="false">
      <c r="B4" s="9" t="s">
        <v>30</v>
      </c>
      <c r="C4" s="11" t="s">
        <v>31</v>
      </c>
      <c r="D4" s="11"/>
      <c r="E4" s="9" t="s">
        <v>32</v>
      </c>
      <c r="F4" s="11" t="s">
        <v>31</v>
      </c>
      <c r="G4" s="11"/>
    </row>
    <row r="5" customFormat="false" ht="19.5" hidden="false" customHeight="true" outlineLevel="0" collapsed="false">
      <c r="B5" s="9" t="s">
        <v>33</v>
      </c>
      <c r="C5" s="10"/>
      <c r="D5" s="10"/>
      <c r="E5" s="9" t="s">
        <v>34</v>
      </c>
      <c r="F5" s="10"/>
      <c r="G5" s="10"/>
    </row>
    <row r="6" customFormat="false" ht="31.5" hidden="false" customHeight="true" outlineLevel="0" collapsed="false">
      <c r="A6" s="12" t="s">
        <v>35</v>
      </c>
      <c r="B6" s="12" t="s">
        <v>36</v>
      </c>
      <c r="C6" s="12" t="s">
        <v>37</v>
      </c>
      <c r="D6" s="12" t="s">
        <v>38</v>
      </c>
      <c r="E6" s="12" t="s">
        <v>39</v>
      </c>
      <c r="F6" s="12" t="s">
        <v>20</v>
      </c>
      <c r="G6" s="12" t="s">
        <v>40</v>
      </c>
      <c r="H6" s="12" t="s">
        <v>41</v>
      </c>
      <c r="I6" s="12" t="s">
        <v>42</v>
      </c>
      <c r="J6" s="12" t="s">
        <v>43</v>
      </c>
      <c r="K6" s="12" t="s">
        <v>44</v>
      </c>
      <c r="L6" s="12" t="s">
        <v>45</v>
      </c>
      <c r="M6" s="12" t="s">
        <v>46</v>
      </c>
      <c r="N6" s="12" t="s">
        <v>47</v>
      </c>
      <c r="O6" s="12" t="s">
        <v>48</v>
      </c>
      <c r="P6" s="12" t="s">
        <v>49</v>
      </c>
      <c r="Q6" s="12" t="s">
        <v>50</v>
      </c>
      <c r="R6" s="12" t="s">
        <v>51</v>
      </c>
      <c r="S6" s="12" t="s">
        <v>52</v>
      </c>
      <c r="T6" s="12" t="s">
        <v>53</v>
      </c>
      <c r="U6" s="12" t="s">
        <v>54</v>
      </c>
      <c r="V6" s="12" t="s">
        <v>55</v>
      </c>
      <c r="W6" s="12" t="s">
        <v>56</v>
      </c>
      <c r="X6" s="12" t="s">
        <v>57</v>
      </c>
      <c r="Y6" s="12" t="s">
        <v>58</v>
      </c>
      <c r="Z6" s="12" t="s">
        <v>59</v>
      </c>
      <c r="AA6" s="12" t="s">
        <v>60</v>
      </c>
      <c r="AB6" s="12" t="s">
        <v>61</v>
      </c>
      <c r="AC6" s="12" t="s">
        <v>62</v>
      </c>
      <c r="AD6" s="12" t="s">
        <v>63</v>
      </c>
      <c r="AE6" s="12" t="s">
        <v>64</v>
      </c>
      <c r="AF6" s="12" t="s">
        <v>65</v>
      </c>
      <c r="AG6" s="12" t="s">
        <v>66</v>
      </c>
      <c r="AH6" s="12" t="s">
        <v>67</v>
      </c>
      <c r="AI6" s="12" t="s">
        <v>68</v>
      </c>
      <c r="AJ6" s="12" t="s">
        <v>69</v>
      </c>
      <c r="AK6" s="12" t="s">
        <v>70</v>
      </c>
      <c r="AL6" s="12" t="s">
        <v>71</v>
      </c>
      <c r="AM6" s="12" t="s">
        <v>72</v>
      </c>
      <c r="AN6" s="12" t="s">
        <v>73</v>
      </c>
    </row>
    <row r="7" customFormat="false" ht="19.5" hidden="false" customHeight="true" outlineLevel="0" collapsed="false">
      <c r="A7" s="13" t="s">
        <v>74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</row>
    <row r="8" customFormat="false" ht="43.5" hidden="false" customHeight="true" outlineLevel="0" collapsed="false">
      <c r="A8" s="14" t="n">
        <v>1</v>
      </c>
      <c r="B8" s="15" t="s">
        <v>75</v>
      </c>
      <c r="C8" s="14" t="s">
        <v>76</v>
      </c>
      <c r="D8" s="15" t="s">
        <v>77</v>
      </c>
      <c r="E8" s="15" t="s">
        <v>78</v>
      </c>
      <c r="F8" s="15" t="s">
        <v>79</v>
      </c>
      <c r="G8" s="15" t="s">
        <v>80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7" t="n">
        <f aca="false">COUNTIF(H8:AL8,"×")</f>
        <v>0</v>
      </c>
      <c r="AN8" s="18"/>
    </row>
    <row r="9" customFormat="false" ht="43.5" hidden="false" customHeight="true" outlineLevel="0" collapsed="false">
      <c r="A9" s="14" t="n">
        <v>2</v>
      </c>
      <c r="B9" s="15" t="s">
        <v>81</v>
      </c>
      <c r="C9" s="14" t="s">
        <v>82</v>
      </c>
      <c r="D9" s="15" t="s">
        <v>83</v>
      </c>
      <c r="E9" s="15" t="s">
        <v>84</v>
      </c>
      <c r="F9" s="19" t="s">
        <v>85</v>
      </c>
      <c r="G9" s="15" t="s">
        <v>86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7" t="n">
        <f aca="false">COUNTIF(H9:AL9,"×")</f>
        <v>0</v>
      </c>
      <c r="AN9" s="18"/>
    </row>
    <row r="10" customFormat="false" ht="43.5" hidden="false" customHeight="true" outlineLevel="0" collapsed="false">
      <c r="A10" s="14" t="n">
        <v>3</v>
      </c>
      <c r="B10" s="15" t="s">
        <v>87</v>
      </c>
      <c r="C10" s="14" t="s">
        <v>82</v>
      </c>
      <c r="D10" s="15" t="s">
        <v>88</v>
      </c>
      <c r="E10" s="15" t="s">
        <v>89</v>
      </c>
      <c r="F10" s="15" t="s">
        <v>90</v>
      </c>
      <c r="G10" s="15" t="s">
        <v>91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7" t="n">
        <f aca="false">COUNTIF(H10:AL10,"×")</f>
        <v>0</v>
      </c>
      <c r="AN10" s="18"/>
    </row>
    <row r="11" customFormat="false" ht="19.5" hidden="false" customHeight="true" outlineLevel="0" collapsed="false">
      <c r="A11" s="13" t="s">
        <v>92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</row>
    <row r="12" customFormat="false" ht="43.5" hidden="false" customHeight="true" outlineLevel="0" collapsed="false">
      <c r="A12" s="14" t="n">
        <v>4</v>
      </c>
      <c r="B12" s="15" t="s">
        <v>93</v>
      </c>
      <c r="C12" s="14" t="s">
        <v>76</v>
      </c>
      <c r="D12" s="15" t="s">
        <v>94</v>
      </c>
      <c r="E12" s="15" t="s">
        <v>95</v>
      </c>
      <c r="F12" s="19" t="s">
        <v>96</v>
      </c>
      <c r="G12" s="15" t="s">
        <v>97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7" t="n">
        <f aca="false">COUNTIF(H12:AL12,"×")</f>
        <v>0</v>
      </c>
      <c r="AN12" s="18"/>
    </row>
    <row r="13" customFormat="false" ht="43.5" hidden="false" customHeight="true" outlineLevel="0" collapsed="false">
      <c r="A13" s="14" t="n">
        <v>5</v>
      </c>
      <c r="B13" s="15" t="s">
        <v>98</v>
      </c>
      <c r="C13" s="14" t="s">
        <v>82</v>
      </c>
      <c r="D13" s="15" t="s">
        <v>99</v>
      </c>
      <c r="E13" s="15" t="s">
        <v>100</v>
      </c>
      <c r="F13" s="19" t="s">
        <v>101</v>
      </c>
      <c r="G13" s="15" t="s">
        <v>102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7" t="n">
        <f aca="false">COUNTIF(H13:AL13,"×")</f>
        <v>0</v>
      </c>
      <c r="AN13" s="18"/>
    </row>
    <row r="14" customFormat="false" ht="43.5" hidden="false" customHeight="true" outlineLevel="0" collapsed="false">
      <c r="A14" s="14" t="n">
        <v>6</v>
      </c>
      <c r="B14" s="15" t="s">
        <v>103</v>
      </c>
      <c r="C14" s="14" t="s">
        <v>104</v>
      </c>
      <c r="D14" s="15" t="s">
        <v>105</v>
      </c>
      <c r="E14" s="15" t="s">
        <v>106</v>
      </c>
      <c r="F14" s="19" t="s">
        <v>101</v>
      </c>
      <c r="G14" s="15" t="s">
        <v>102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7" t="n">
        <f aca="false">COUNTIF(H14:AL14,"×")</f>
        <v>0</v>
      </c>
      <c r="AN14" s="18"/>
    </row>
    <row r="15" customFormat="false" ht="43.5" hidden="false" customHeight="true" outlineLevel="0" collapsed="false">
      <c r="A15" s="14" t="n">
        <v>7</v>
      </c>
      <c r="B15" s="15" t="s">
        <v>107</v>
      </c>
      <c r="C15" s="14" t="s">
        <v>108</v>
      </c>
      <c r="D15" s="15" t="s">
        <v>109</v>
      </c>
      <c r="E15" s="15" t="s">
        <v>110</v>
      </c>
      <c r="F15" s="19" t="s">
        <v>111</v>
      </c>
      <c r="G15" s="15" t="s">
        <v>102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7" t="n">
        <f aca="false">COUNTIF(H15:AL15,"×")</f>
        <v>0</v>
      </c>
      <c r="AN15" s="18"/>
    </row>
    <row r="16" customFormat="false" ht="43.5" hidden="false" customHeight="true" outlineLevel="0" collapsed="false">
      <c r="A16" s="14" t="n">
        <v>8</v>
      </c>
      <c r="B16" s="15" t="s">
        <v>112</v>
      </c>
      <c r="C16" s="14" t="s">
        <v>82</v>
      </c>
      <c r="D16" s="15" t="s">
        <v>113</v>
      </c>
      <c r="E16" s="15" t="s">
        <v>114</v>
      </c>
      <c r="F16" s="15" t="s">
        <v>115</v>
      </c>
      <c r="G16" s="15" t="s">
        <v>116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7" t="n">
        <f aca="false">COUNTIF(H16:AL16,"×")</f>
        <v>0</v>
      </c>
      <c r="AN16" s="18"/>
    </row>
    <row r="17" customFormat="false" ht="43.5" hidden="false" customHeight="true" outlineLevel="0" collapsed="false">
      <c r="A17" s="14" t="n">
        <v>9</v>
      </c>
      <c r="B17" s="15" t="s">
        <v>117</v>
      </c>
      <c r="C17" s="14" t="s">
        <v>76</v>
      </c>
      <c r="D17" s="15" t="s">
        <v>118</v>
      </c>
      <c r="E17" s="15" t="s">
        <v>119</v>
      </c>
      <c r="F17" s="19" t="s">
        <v>120</v>
      </c>
      <c r="G17" s="15" t="s">
        <v>121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7" t="n">
        <f aca="false">COUNTIF(H17:AL17,"×")</f>
        <v>0</v>
      </c>
      <c r="AN17" s="18"/>
    </row>
    <row r="18" customFormat="false" ht="19.5" hidden="false" customHeight="true" outlineLevel="0" collapsed="false">
      <c r="A18" s="13" t="s">
        <v>122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</row>
    <row r="19" customFormat="false" ht="43.5" hidden="false" customHeight="true" outlineLevel="0" collapsed="false">
      <c r="A19" s="14" t="n">
        <v>10</v>
      </c>
      <c r="B19" s="15" t="s">
        <v>123</v>
      </c>
      <c r="C19" s="14" t="s">
        <v>82</v>
      </c>
      <c r="D19" s="15" t="s">
        <v>124</v>
      </c>
      <c r="E19" s="15" t="s">
        <v>125</v>
      </c>
      <c r="F19" s="19" t="s">
        <v>126</v>
      </c>
      <c r="G19" s="15" t="s">
        <v>127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7" t="n">
        <f aca="false">COUNTIF(H19:AL19,"×")</f>
        <v>0</v>
      </c>
      <c r="AN19" s="18"/>
    </row>
    <row r="20" customFormat="false" ht="43.5" hidden="false" customHeight="true" outlineLevel="0" collapsed="false">
      <c r="A20" s="14" t="n">
        <v>11</v>
      </c>
      <c r="B20" s="15" t="s">
        <v>128</v>
      </c>
      <c r="C20" s="14" t="s">
        <v>82</v>
      </c>
      <c r="D20" s="15" t="s">
        <v>129</v>
      </c>
      <c r="E20" s="15" t="s">
        <v>130</v>
      </c>
      <c r="F20" s="15" t="s">
        <v>131</v>
      </c>
      <c r="G20" s="15" t="s">
        <v>132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7" t="n">
        <f aca="false">COUNTIF(H20:AL20,"×")</f>
        <v>0</v>
      </c>
      <c r="AN20" s="18"/>
    </row>
    <row r="21" customFormat="false" ht="43.5" hidden="false" customHeight="true" outlineLevel="0" collapsed="false">
      <c r="A21" s="14" t="n">
        <v>12</v>
      </c>
      <c r="B21" s="15" t="s">
        <v>133</v>
      </c>
      <c r="C21" s="14" t="s">
        <v>134</v>
      </c>
      <c r="D21" s="15" t="s">
        <v>135</v>
      </c>
      <c r="E21" s="15" t="s">
        <v>136</v>
      </c>
      <c r="F21" s="19" t="s">
        <v>137</v>
      </c>
      <c r="G21" s="15" t="s">
        <v>138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7" t="n">
        <f aca="false">COUNTIF(H21:AL21,"×")</f>
        <v>0</v>
      </c>
      <c r="AN21" s="18"/>
    </row>
    <row r="22" customFormat="false" ht="43.5" hidden="false" customHeight="true" outlineLevel="0" collapsed="false">
      <c r="A22" s="14" t="n">
        <v>13</v>
      </c>
      <c r="B22" s="15" t="s">
        <v>139</v>
      </c>
      <c r="C22" s="14" t="s">
        <v>82</v>
      </c>
      <c r="D22" s="15" t="s">
        <v>140</v>
      </c>
      <c r="E22" s="15" t="s">
        <v>141</v>
      </c>
      <c r="F22" s="19" t="s">
        <v>137</v>
      </c>
      <c r="G22" s="15" t="s">
        <v>138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7" t="n">
        <f aca="false">COUNTIF(H22:AL22,"×")</f>
        <v>0</v>
      </c>
      <c r="AN22" s="18"/>
    </row>
    <row r="23" customFormat="false" ht="43.5" hidden="false" customHeight="true" outlineLevel="0" collapsed="false">
      <c r="A23" s="14" t="n">
        <v>14</v>
      </c>
      <c r="B23" s="15" t="s">
        <v>142</v>
      </c>
      <c r="C23" s="14" t="s">
        <v>134</v>
      </c>
      <c r="D23" s="15" t="s">
        <v>143</v>
      </c>
      <c r="E23" s="15" t="s">
        <v>144</v>
      </c>
      <c r="F23" s="15" t="s">
        <v>145</v>
      </c>
      <c r="G23" s="15" t="s">
        <v>138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7" t="n">
        <f aca="false">COUNTIF(H23:AL23,"×")</f>
        <v>0</v>
      </c>
      <c r="AN23" s="18"/>
    </row>
    <row r="24" customFormat="false" ht="43.5" hidden="false" customHeight="true" outlineLevel="0" collapsed="false">
      <c r="A24" s="14" t="n">
        <v>15</v>
      </c>
      <c r="B24" s="15" t="s">
        <v>146</v>
      </c>
      <c r="C24" s="14" t="s">
        <v>82</v>
      </c>
      <c r="D24" s="15" t="s">
        <v>147</v>
      </c>
      <c r="E24" s="15" t="s">
        <v>148</v>
      </c>
      <c r="F24" s="15" t="s">
        <v>149</v>
      </c>
      <c r="G24" s="15" t="s">
        <v>150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7" t="n">
        <f aca="false">COUNTIF(H24:AL24,"×")</f>
        <v>0</v>
      </c>
      <c r="AN24" s="18"/>
    </row>
    <row r="25" customFormat="false" ht="43.5" hidden="false" customHeight="true" outlineLevel="0" collapsed="false">
      <c r="A25" s="14" t="n">
        <v>16</v>
      </c>
      <c r="B25" s="15" t="s">
        <v>151</v>
      </c>
      <c r="C25" s="14" t="s">
        <v>82</v>
      </c>
      <c r="D25" s="15" t="s">
        <v>152</v>
      </c>
      <c r="E25" s="15" t="s">
        <v>153</v>
      </c>
      <c r="F25" s="19" t="s">
        <v>154</v>
      </c>
      <c r="G25" s="15" t="s">
        <v>150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7" t="n">
        <f aca="false">COUNTIF(H25:AL25,"×")</f>
        <v>0</v>
      </c>
      <c r="AN25" s="18"/>
    </row>
    <row r="26" customFormat="false" ht="43.5" hidden="false" customHeight="true" outlineLevel="0" collapsed="false">
      <c r="A26" s="14" t="n">
        <v>17</v>
      </c>
      <c r="B26" s="15" t="s">
        <v>155</v>
      </c>
      <c r="C26" s="14" t="s">
        <v>82</v>
      </c>
      <c r="D26" s="15" t="s">
        <v>156</v>
      </c>
      <c r="E26" s="15" t="s">
        <v>157</v>
      </c>
      <c r="F26" s="19" t="s">
        <v>158</v>
      </c>
      <c r="G26" s="15" t="s">
        <v>150</v>
      </c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7" t="n">
        <f aca="false">COUNTIF(H26:AL26,"×")</f>
        <v>0</v>
      </c>
      <c r="AN26" s="18"/>
    </row>
    <row r="27" customFormat="false" ht="43.5" hidden="false" customHeight="true" outlineLevel="0" collapsed="false">
      <c r="A27" s="14" t="n">
        <v>18</v>
      </c>
      <c r="B27" s="15" t="s">
        <v>159</v>
      </c>
      <c r="C27" s="14" t="s">
        <v>160</v>
      </c>
      <c r="D27" s="15" t="s">
        <v>161</v>
      </c>
      <c r="E27" s="15" t="s">
        <v>162</v>
      </c>
      <c r="F27" s="15" t="s">
        <v>163</v>
      </c>
      <c r="G27" s="15" t="s">
        <v>150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7" t="n">
        <f aca="false">COUNTIF(H27:AL27,"×")</f>
        <v>0</v>
      </c>
      <c r="AN27" s="18"/>
    </row>
    <row r="28" customFormat="false" ht="43.5" hidden="false" customHeight="true" outlineLevel="0" collapsed="false">
      <c r="A28" s="14" t="n">
        <v>19</v>
      </c>
      <c r="B28" s="15" t="s">
        <v>164</v>
      </c>
      <c r="C28" s="14" t="s">
        <v>165</v>
      </c>
      <c r="D28" s="15" t="s">
        <v>166</v>
      </c>
      <c r="E28" s="15" t="s">
        <v>167</v>
      </c>
      <c r="F28" s="19" t="s">
        <v>168</v>
      </c>
      <c r="G28" s="15" t="s">
        <v>169</v>
      </c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7" t="n">
        <f aca="false">COUNTIF(H28:AL28,"×")</f>
        <v>0</v>
      </c>
      <c r="AN28" s="18"/>
    </row>
    <row r="29" customFormat="false" ht="21.75" hidden="false" customHeight="true" outlineLevel="0" collapsed="false">
      <c r="A29" s="20" t="s">
        <v>170</v>
      </c>
      <c r="B29" s="20"/>
      <c r="C29" s="20"/>
      <c r="D29" s="20"/>
      <c r="E29" s="20"/>
      <c r="F29" s="20"/>
      <c r="G29" s="20"/>
      <c r="H29" s="21" t="n">
        <f aca="false">COUNTIF(H8:H28,"×")</f>
        <v>0</v>
      </c>
      <c r="I29" s="21" t="n">
        <f aca="false">COUNTIF(I8:I28,"×")</f>
        <v>0</v>
      </c>
      <c r="J29" s="21" t="n">
        <f aca="false">COUNTIF(J8:J28,"×")</f>
        <v>0</v>
      </c>
      <c r="K29" s="21" t="n">
        <f aca="false">COUNTIF(K8:K28,"×")</f>
        <v>0</v>
      </c>
      <c r="L29" s="21" t="n">
        <f aca="false">COUNTIF(L8:L28,"×")</f>
        <v>0</v>
      </c>
      <c r="M29" s="21" t="n">
        <f aca="false">COUNTIF(M8:M28,"×")</f>
        <v>0</v>
      </c>
      <c r="N29" s="21" t="n">
        <f aca="false">COUNTIF(N8:N28,"×")</f>
        <v>0</v>
      </c>
      <c r="O29" s="21" t="n">
        <f aca="false">COUNTIF(O8:O28,"×")</f>
        <v>0</v>
      </c>
      <c r="P29" s="21" t="n">
        <f aca="false">COUNTIF(P8:P28,"×")</f>
        <v>0</v>
      </c>
      <c r="Q29" s="21" t="n">
        <f aca="false">COUNTIF(Q8:Q28,"×")</f>
        <v>0</v>
      </c>
      <c r="R29" s="21" t="n">
        <f aca="false">COUNTIF(R8:R28,"×")</f>
        <v>0</v>
      </c>
      <c r="S29" s="21" t="n">
        <f aca="false">COUNTIF(S8:S28,"×")</f>
        <v>0</v>
      </c>
      <c r="T29" s="21" t="n">
        <f aca="false">COUNTIF(T8:T28,"×")</f>
        <v>0</v>
      </c>
      <c r="U29" s="21" t="n">
        <f aca="false">COUNTIF(U8:U28,"×")</f>
        <v>0</v>
      </c>
      <c r="V29" s="21" t="n">
        <f aca="false">COUNTIF(V8:V28,"×")</f>
        <v>0</v>
      </c>
      <c r="W29" s="21" t="n">
        <f aca="false">COUNTIF(W8:W28,"×")</f>
        <v>0</v>
      </c>
      <c r="X29" s="21" t="n">
        <f aca="false">COUNTIF(X8:X28,"×")</f>
        <v>0</v>
      </c>
      <c r="Y29" s="21" t="n">
        <f aca="false">COUNTIF(Y8:Y28,"×")</f>
        <v>0</v>
      </c>
      <c r="Z29" s="21" t="n">
        <f aca="false">COUNTIF(Z8:Z28,"×")</f>
        <v>0</v>
      </c>
      <c r="AA29" s="21" t="n">
        <f aca="false">COUNTIF(AA8:AA28,"×")</f>
        <v>0</v>
      </c>
      <c r="AB29" s="21" t="n">
        <f aca="false">COUNTIF(AB8:AB28,"×")</f>
        <v>0</v>
      </c>
      <c r="AC29" s="21" t="n">
        <f aca="false">COUNTIF(AC8:AC28,"×")</f>
        <v>0</v>
      </c>
      <c r="AD29" s="21" t="n">
        <f aca="false">COUNTIF(AD8:AD28,"×")</f>
        <v>0</v>
      </c>
      <c r="AE29" s="21" t="n">
        <f aca="false">COUNTIF(AE8:AE28,"×")</f>
        <v>0</v>
      </c>
      <c r="AF29" s="21" t="n">
        <f aca="false">COUNTIF(AF8:AF28,"×")</f>
        <v>0</v>
      </c>
      <c r="AG29" s="21" t="n">
        <f aca="false">COUNTIF(AG8:AG28,"×")</f>
        <v>0</v>
      </c>
      <c r="AH29" s="21" t="n">
        <f aca="false">COUNTIF(AH8:AH28,"×")</f>
        <v>0</v>
      </c>
      <c r="AI29" s="21" t="n">
        <f aca="false">COUNTIF(AI8:AI28,"×")</f>
        <v>0</v>
      </c>
      <c r="AJ29" s="21" t="n">
        <f aca="false">COUNTIF(AJ8:AJ28,"×")</f>
        <v>0</v>
      </c>
      <c r="AK29" s="21" t="n">
        <f aca="false">COUNTIF(AK8:AK28,"×")</f>
        <v>0</v>
      </c>
      <c r="AL29" s="21" t="n">
        <f aca="false">COUNTIF(AL8:AL28,"×")</f>
        <v>0</v>
      </c>
    </row>
    <row r="30" customFormat="false" ht="21.75" hidden="false" customHeight="true" outlineLevel="0" collapsed="false">
      <c r="A30" s="20" t="s">
        <v>171</v>
      </c>
      <c r="B30" s="20"/>
      <c r="C30" s="20"/>
      <c r="D30" s="20"/>
      <c r="E30" s="20"/>
      <c r="F30" s="20"/>
      <c r="G30" s="20"/>
      <c r="H30" s="21" t="n">
        <f aca="false">COUNTIF(H8:H28,"△")</f>
        <v>0</v>
      </c>
      <c r="I30" s="21" t="n">
        <f aca="false">COUNTIF(I8:I28,"△")</f>
        <v>0</v>
      </c>
      <c r="J30" s="21" t="n">
        <f aca="false">COUNTIF(J8:J28,"△")</f>
        <v>0</v>
      </c>
      <c r="K30" s="21" t="n">
        <f aca="false">COUNTIF(K8:K28,"△")</f>
        <v>0</v>
      </c>
      <c r="L30" s="21" t="n">
        <f aca="false">COUNTIF(L8:L28,"△")</f>
        <v>0</v>
      </c>
      <c r="M30" s="21" t="n">
        <f aca="false">COUNTIF(M8:M28,"△")</f>
        <v>0</v>
      </c>
      <c r="N30" s="21" t="n">
        <f aca="false">COUNTIF(N8:N28,"△")</f>
        <v>0</v>
      </c>
      <c r="O30" s="21" t="n">
        <f aca="false">COUNTIF(O8:O28,"△")</f>
        <v>0</v>
      </c>
      <c r="P30" s="21" t="n">
        <f aca="false">COUNTIF(P8:P28,"△")</f>
        <v>0</v>
      </c>
      <c r="Q30" s="21" t="n">
        <f aca="false">COUNTIF(Q8:Q28,"△")</f>
        <v>0</v>
      </c>
      <c r="R30" s="21" t="n">
        <f aca="false">COUNTIF(R8:R28,"△")</f>
        <v>0</v>
      </c>
      <c r="S30" s="21" t="n">
        <f aca="false">COUNTIF(S8:S28,"△")</f>
        <v>0</v>
      </c>
      <c r="T30" s="21" t="n">
        <f aca="false">COUNTIF(T8:T28,"△")</f>
        <v>0</v>
      </c>
      <c r="U30" s="21" t="n">
        <f aca="false">COUNTIF(U8:U28,"△")</f>
        <v>0</v>
      </c>
      <c r="V30" s="21" t="n">
        <f aca="false">COUNTIF(V8:V28,"△")</f>
        <v>0</v>
      </c>
      <c r="W30" s="21" t="n">
        <f aca="false">COUNTIF(W8:W28,"△")</f>
        <v>0</v>
      </c>
      <c r="X30" s="21" t="n">
        <f aca="false">COUNTIF(X8:X28,"△")</f>
        <v>0</v>
      </c>
      <c r="Y30" s="21" t="n">
        <f aca="false">COUNTIF(Y8:Y28,"△")</f>
        <v>0</v>
      </c>
      <c r="Z30" s="21" t="n">
        <f aca="false">COUNTIF(Z8:Z28,"△")</f>
        <v>0</v>
      </c>
      <c r="AA30" s="21" t="n">
        <f aca="false">COUNTIF(AA8:AA28,"△")</f>
        <v>0</v>
      </c>
      <c r="AB30" s="21" t="n">
        <f aca="false">COUNTIF(AB8:AB28,"△")</f>
        <v>0</v>
      </c>
      <c r="AC30" s="21" t="n">
        <f aca="false">COUNTIF(AC8:AC28,"△")</f>
        <v>0</v>
      </c>
      <c r="AD30" s="21" t="n">
        <f aca="false">COUNTIF(AD8:AD28,"△")</f>
        <v>0</v>
      </c>
      <c r="AE30" s="21" t="n">
        <f aca="false">COUNTIF(AE8:AE28,"△")</f>
        <v>0</v>
      </c>
      <c r="AF30" s="21" t="n">
        <f aca="false">COUNTIF(AF8:AF28,"△")</f>
        <v>0</v>
      </c>
      <c r="AG30" s="21" t="n">
        <f aca="false">COUNTIF(AG8:AG28,"△")</f>
        <v>0</v>
      </c>
      <c r="AH30" s="21" t="n">
        <f aca="false">COUNTIF(AH8:AH28,"△")</f>
        <v>0</v>
      </c>
      <c r="AI30" s="21" t="n">
        <f aca="false">COUNTIF(AI8:AI28,"△")</f>
        <v>0</v>
      </c>
      <c r="AJ30" s="21" t="n">
        <f aca="false">COUNTIF(AJ8:AJ28,"△")</f>
        <v>0</v>
      </c>
      <c r="AK30" s="21" t="n">
        <f aca="false">COUNTIF(AK8:AK28,"△")</f>
        <v>0</v>
      </c>
      <c r="AL30" s="21" t="n">
        <f aca="false">COUNTIF(AL8:AL28,"△")</f>
        <v>0</v>
      </c>
    </row>
    <row r="31" customFormat="false" ht="21.75" hidden="false" customHeight="true" outlineLevel="0" collapsed="false">
      <c r="A31" s="20" t="s">
        <v>172</v>
      </c>
      <c r="B31" s="20"/>
      <c r="C31" s="20"/>
      <c r="D31" s="20"/>
      <c r="E31" s="20"/>
      <c r="F31" s="20"/>
      <c r="G31" s="20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</row>
    <row r="32" customFormat="false" ht="21.75" hidden="false" customHeight="true" outlineLevel="0" collapsed="false">
      <c r="A32" s="20" t="s">
        <v>173</v>
      </c>
      <c r="B32" s="20"/>
      <c r="C32" s="20"/>
      <c r="D32" s="20"/>
      <c r="E32" s="20"/>
      <c r="F32" s="20"/>
      <c r="G32" s="20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</row>
  </sheetData>
  <mergeCells count="15">
    <mergeCell ref="A1:AN1"/>
    <mergeCell ref="A2:AN2"/>
    <mergeCell ref="C3:D3"/>
    <mergeCell ref="F3:G3"/>
    <mergeCell ref="C4:D4"/>
    <mergeCell ref="F4:G4"/>
    <mergeCell ref="C5:D5"/>
    <mergeCell ref="F5:G5"/>
    <mergeCell ref="A7:AN7"/>
    <mergeCell ref="A11:AN11"/>
    <mergeCell ref="A18:AN18"/>
    <mergeCell ref="A29:G29"/>
    <mergeCell ref="A30:G30"/>
    <mergeCell ref="A31:G31"/>
    <mergeCell ref="A32:G32"/>
  </mergeCells>
  <conditionalFormatting sqref="H8:AL28">
    <cfRule type="cellIs" priority="2" operator="equal" aboveAverage="0" equalAverage="0" bottom="0" percent="0" rank="0" text="" dxfId="0">
      <formula>"×"</formula>
    </cfRule>
    <cfRule type="cellIs" priority="3" operator="equal" aboveAverage="0" equalAverage="0" bottom="0" percent="0" rank="0" text="" dxfId="1">
      <formula>"△"</formula>
    </cfRule>
  </conditionalFormatting>
  <dataValidations count="1">
    <dataValidation allowBlank="true" error="ใช้ ○ △ × หรือ — เท่านั้น" errorStyle="stop" errorTitle="ผลตรวจ" operator="between" prompt="○ ปกติ · △ เฝ้าดู · × ผิดปกติ · — ไม่ได้ตรวจ" promptTitle="ผลตรวจ" showDropDown="false" showErrorMessage="false" showInputMessage="false" sqref="H8:AL10 H12:AL17 H19:AL28" type="list">
      <formula1>"○,△,×,—"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5" topLeftCell="H6" activePane="bottomRight" state="frozen"/>
      <selection pane="topLeft" activeCell="A1" activeCellId="0" sqref="A1"/>
      <selection pane="topRight" activeCell="H1" activeCellId="0" sqref="H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28"/>
    <col collapsed="false" customWidth="true" hidden="false" outlineLevel="0" max="5" min="5" style="0" width="34"/>
    <col collapsed="false" customWidth="true" hidden="false" outlineLevel="0" max="6" min="6" style="0" width="17"/>
    <col collapsed="false" customWidth="true" hidden="false" outlineLevel="0" max="7" min="7" style="0" width="15"/>
    <col collapsed="false" customWidth="true" hidden="false" outlineLevel="0" max="13" min="8" style="0" width="7"/>
    <col collapsed="false" customWidth="true" hidden="false" outlineLevel="0" max="14" min="14" style="0" width="30"/>
  </cols>
  <sheetData>
    <row r="1" customFormat="false" ht="30" hidden="false" customHeight="true" outlineLevel="0" collapsed="false">
      <c r="A1" s="1" t="s">
        <v>174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1.9" hidden="false" customHeight="false" outlineLevel="0" collapsed="false">
      <c r="A2" s="2" t="s">
        <v>175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9.5" hidden="false" customHeight="true" outlineLevel="0" collapsed="false">
      <c r="B3" s="9" t="s">
        <v>28</v>
      </c>
      <c r="C3" s="10"/>
      <c r="D3" s="10"/>
      <c r="E3" s="9" t="s">
        <v>29</v>
      </c>
      <c r="F3" s="10"/>
      <c r="G3" s="10"/>
    </row>
    <row r="4" customFormat="false" ht="19.5" hidden="false" customHeight="true" outlineLevel="0" collapsed="false">
      <c r="B4" s="9" t="s">
        <v>33</v>
      </c>
      <c r="C4" s="10"/>
      <c r="D4" s="10"/>
      <c r="E4" s="9" t="s">
        <v>34</v>
      </c>
      <c r="F4" s="10"/>
      <c r="G4" s="10"/>
    </row>
    <row r="5" customFormat="false" ht="31.5" hidden="false" customHeight="true" outlineLevel="0" collapsed="false">
      <c r="A5" s="12" t="s">
        <v>35</v>
      </c>
      <c r="B5" s="12" t="s">
        <v>36</v>
      </c>
      <c r="C5" s="12" t="s">
        <v>37</v>
      </c>
      <c r="D5" s="12" t="s">
        <v>38</v>
      </c>
      <c r="E5" s="12" t="s">
        <v>39</v>
      </c>
      <c r="F5" s="12" t="s">
        <v>20</v>
      </c>
      <c r="G5" s="12" t="s">
        <v>40</v>
      </c>
      <c r="H5" s="12" t="s">
        <v>176</v>
      </c>
      <c r="I5" s="12" t="s">
        <v>177</v>
      </c>
      <c r="J5" s="12" t="s">
        <v>178</v>
      </c>
      <c r="K5" s="12" t="s">
        <v>179</v>
      </c>
      <c r="L5" s="12" t="s">
        <v>180</v>
      </c>
      <c r="M5" s="12" t="s">
        <v>72</v>
      </c>
      <c r="N5" s="12" t="s">
        <v>73</v>
      </c>
    </row>
    <row r="6" customFormat="false" ht="19.5" hidden="false" customHeight="true" outlineLevel="0" collapsed="false">
      <c r="A6" s="13" t="s">
        <v>181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7" customFormat="false" ht="43.5" hidden="false" customHeight="true" outlineLevel="0" collapsed="false">
      <c r="A7" s="14" t="n">
        <v>1</v>
      </c>
      <c r="B7" s="15" t="s">
        <v>182</v>
      </c>
      <c r="C7" s="14" t="s">
        <v>82</v>
      </c>
      <c r="D7" s="15" t="s">
        <v>183</v>
      </c>
      <c r="E7" s="15" t="s">
        <v>136</v>
      </c>
      <c r="F7" s="19" t="s">
        <v>184</v>
      </c>
      <c r="G7" s="15" t="s">
        <v>185</v>
      </c>
      <c r="H7" s="16"/>
      <c r="I7" s="16"/>
      <c r="J7" s="16"/>
      <c r="K7" s="16"/>
      <c r="L7" s="16"/>
      <c r="M7" s="17" t="n">
        <f aca="false">COUNTIF(H7:L7,"×")</f>
        <v>0</v>
      </c>
      <c r="N7" s="18"/>
    </row>
    <row r="8" customFormat="false" ht="43.5" hidden="false" customHeight="true" outlineLevel="0" collapsed="false">
      <c r="A8" s="14" t="n">
        <v>2</v>
      </c>
      <c r="B8" s="15" t="s">
        <v>186</v>
      </c>
      <c r="C8" s="14" t="s">
        <v>187</v>
      </c>
      <c r="D8" s="15" t="s">
        <v>188</v>
      </c>
      <c r="E8" s="15" t="s">
        <v>189</v>
      </c>
      <c r="F8" s="19" t="s">
        <v>184</v>
      </c>
      <c r="G8" s="15" t="s">
        <v>185</v>
      </c>
      <c r="H8" s="16"/>
      <c r="I8" s="16"/>
      <c r="J8" s="16"/>
      <c r="K8" s="16"/>
      <c r="L8" s="16"/>
      <c r="M8" s="17" t="n">
        <f aca="false">COUNTIF(H8:L8,"×")</f>
        <v>0</v>
      </c>
      <c r="N8" s="18"/>
    </row>
    <row r="9" customFormat="false" ht="43.5" hidden="false" customHeight="true" outlineLevel="0" collapsed="false">
      <c r="A9" s="14" t="n">
        <v>3</v>
      </c>
      <c r="B9" s="15" t="s">
        <v>190</v>
      </c>
      <c r="C9" s="14" t="s">
        <v>82</v>
      </c>
      <c r="D9" s="15" t="s">
        <v>191</v>
      </c>
      <c r="E9" s="15" t="s">
        <v>192</v>
      </c>
      <c r="F9" s="19" t="s">
        <v>184</v>
      </c>
      <c r="G9" s="15" t="s">
        <v>185</v>
      </c>
      <c r="H9" s="16"/>
      <c r="I9" s="16"/>
      <c r="J9" s="16"/>
      <c r="K9" s="16"/>
      <c r="L9" s="16"/>
      <c r="M9" s="17" t="n">
        <f aca="false">COUNTIF(H9:L9,"×")</f>
        <v>0</v>
      </c>
      <c r="N9" s="18"/>
    </row>
    <row r="10" customFormat="false" ht="43.5" hidden="false" customHeight="true" outlineLevel="0" collapsed="false">
      <c r="A10" s="14" t="n">
        <v>4</v>
      </c>
      <c r="B10" s="15" t="s">
        <v>193</v>
      </c>
      <c r="C10" s="14" t="s">
        <v>82</v>
      </c>
      <c r="D10" s="15" t="s">
        <v>194</v>
      </c>
      <c r="E10" s="15" t="s">
        <v>195</v>
      </c>
      <c r="F10" s="19" t="s">
        <v>184</v>
      </c>
      <c r="G10" s="15" t="s">
        <v>185</v>
      </c>
      <c r="H10" s="16"/>
      <c r="I10" s="16"/>
      <c r="J10" s="16"/>
      <c r="K10" s="16"/>
      <c r="L10" s="16"/>
      <c r="M10" s="17" t="n">
        <f aca="false">COUNTIF(H10:L10,"×")</f>
        <v>0</v>
      </c>
      <c r="N10" s="18"/>
    </row>
    <row r="11" customFormat="false" ht="19.5" hidden="false" customHeight="true" outlineLevel="0" collapsed="false">
      <c r="A11" s="13" t="s">
        <v>196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customFormat="false" ht="43.5" hidden="false" customHeight="true" outlineLevel="0" collapsed="false">
      <c r="A12" s="14" t="n">
        <v>5</v>
      </c>
      <c r="B12" s="15" t="s">
        <v>197</v>
      </c>
      <c r="C12" s="14" t="s">
        <v>82</v>
      </c>
      <c r="D12" s="15" t="s">
        <v>198</v>
      </c>
      <c r="E12" s="15" t="s">
        <v>199</v>
      </c>
      <c r="F12" s="19" t="s">
        <v>200</v>
      </c>
      <c r="G12" s="15" t="s">
        <v>201</v>
      </c>
      <c r="H12" s="16"/>
      <c r="I12" s="16"/>
      <c r="J12" s="16"/>
      <c r="K12" s="16"/>
      <c r="L12" s="16"/>
      <c r="M12" s="17" t="n">
        <f aca="false">COUNTIF(H12:L12,"×")</f>
        <v>0</v>
      </c>
      <c r="N12" s="18"/>
    </row>
    <row r="13" customFormat="false" ht="43.5" hidden="false" customHeight="true" outlineLevel="0" collapsed="false">
      <c r="A13" s="14" t="n">
        <v>6</v>
      </c>
      <c r="B13" s="15" t="s">
        <v>202</v>
      </c>
      <c r="C13" s="14" t="s">
        <v>82</v>
      </c>
      <c r="D13" s="15" t="s">
        <v>203</v>
      </c>
      <c r="E13" s="15" t="s">
        <v>204</v>
      </c>
      <c r="F13" s="19" t="s">
        <v>200</v>
      </c>
      <c r="G13" s="15" t="s">
        <v>201</v>
      </c>
      <c r="H13" s="16"/>
      <c r="I13" s="16"/>
      <c r="J13" s="16"/>
      <c r="K13" s="16"/>
      <c r="L13" s="16"/>
      <c r="M13" s="17" t="n">
        <f aca="false">COUNTIF(H13:L13,"×")</f>
        <v>0</v>
      </c>
      <c r="N13" s="18"/>
    </row>
    <row r="14" customFormat="false" ht="43.5" hidden="false" customHeight="true" outlineLevel="0" collapsed="false">
      <c r="A14" s="14" t="n">
        <v>7</v>
      </c>
      <c r="B14" s="15" t="s">
        <v>205</v>
      </c>
      <c r="C14" s="14" t="s">
        <v>206</v>
      </c>
      <c r="D14" s="15" t="s">
        <v>207</v>
      </c>
      <c r="E14" s="15" t="s">
        <v>208</v>
      </c>
      <c r="F14" s="19" t="s">
        <v>200</v>
      </c>
      <c r="G14" s="15" t="s">
        <v>201</v>
      </c>
      <c r="H14" s="16"/>
      <c r="I14" s="16"/>
      <c r="J14" s="16"/>
      <c r="K14" s="16"/>
      <c r="L14" s="16"/>
      <c r="M14" s="17" t="n">
        <f aca="false">COUNTIF(H14:L14,"×")</f>
        <v>0</v>
      </c>
      <c r="N14" s="18"/>
    </row>
    <row r="15" customFormat="false" ht="43.5" hidden="false" customHeight="true" outlineLevel="0" collapsed="false">
      <c r="A15" s="14" t="n">
        <v>8</v>
      </c>
      <c r="B15" s="15" t="s">
        <v>209</v>
      </c>
      <c r="C15" s="14" t="s">
        <v>82</v>
      </c>
      <c r="D15" s="15" t="s">
        <v>210</v>
      </c>
      <c r="E15" s="15" t="s">
        <v>211</v>
      </c>
      <c r="F15" s="19" t="s">
        <v>212</v>
      </c>
      <c r="G15" s="15" t="s">
        <v>213</v>
      </c>
      <c r="H15" s="16"/>
      <c r="I15" s="16"/>
      <c r="J15" s="16"/>
      <c r="K15" s="16"/>
      <c r="L15" s="16"/>
      <c r="M15" s="17" t="n">
        <f aca="false">COUNTIF(H15:L15,"×")</f>
        <v>0</v>
      </c>
      <c r="N15" s="18"/>
    </row>
    <row r="16" customFormat="false" ht="19.5" hidden="false" customHeight="true" outlineLevel="0" collapsed="false">
      <c r="A16" s="13" t="s">
        <v>214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customFormat="false" ht="43.5" hidden="false" customHeight="true" outlineLevel="0" collapsed="false">
      <c r="A17" s="14" t="n">
        <v>9</v>
      </c>
      <c r="B17" s="15" t="s">
        <v>215</v>
      </c>
      <c r="C17" s="14" t="s">
        <v>82</v>
      </c>
      <c r="D17" s="15" t="s">
        <v>216</v>
      </c>
      <c r="E17" s="15" t="s">
        <v>217</v>
      </c>
      <c r="F17" s="15" t="s">
        <v>115</v>
      </c>
      <c r="G17" s="15" t="s">
        <v>116</v>
      </c>
      <c r="H17" s="16"/>
      <c r="I17" s="16"/>
      <c r="J17" s="16"/>
      <c r="K17" s="16"/>
      <c r="L17" s="16"/>
      <c r="M17" s="17" t="n">
        <f aca="false">COUNTIF(H17:L17,"×")</f>
        <v>0</v>
      </c>
      <c r="N17" s="18"/>
    </row>
    <row r="18" customFormat="false" ht="43.5" hidden="false" customHeight="true" outlineLevel="0" collapsed="false">
      <c r="A18" s="14" t="n">
        <v>10</v>
      </c>
      <c r="B18" s="15" t="s">
        <v>218</v>
      </c>
      <c r="C18" s="14" t="s">
        <v>82</v>
      </c>
      <c r="D18" s="15" t="s">
        <v>216</v>
      </c>
      <c r="E18" s="15" t="s">
        <v>136</v>
      </c>
      <c r="F18" s="19" t="s">
        <v>219</v>
      </c>
      <c r="G18" s="15" t="s">
        <v>121</v>
      </c>
      <c r="H18" s="16"/>
      <c r="I18" s="16"/>
      <c r="J18" s="16"/>
      <c r="K18" s="16"/>
      <c r="L18" s="16"/>
      <c r="M18" s="17" t="n">
        <f aca="false">COUNTIF(H18:L18,"×")</f>
        <v>0</v>
      </c>
      <c r="N18" s="18"/>
    </row>
    <row r="19" customFormat="false" ht="43.5" hidden="false" customHeight="true" outlineLevel="0" collapsed="false">
      <c r="A19" s="14" t="n">
        <v>11</v>
      </c>
      <c r="B19" s="15" t="s">
        <v>220</v>
      </c>
      <c r="C19" s="14" t="s">
        <v>187</v>
      </c>
      <c r="D19" s="15" t="s">
        <v>188</v>
      </c>
      <c r="E19" s="15" t="s">
        <v>189</v>
      </c>
      <c r="F19" s="19" t="s">
        <v>219</v>
      </c>
      <c r="G19" s="15" t="s">
        <v>121</v>
      </c>
      <c r="H19" s="16"/>
      <c r="I19" s="16"/>
      <c r="J19" s="16"/>
      <c r="K19" s="16"/>
      <c r="L19" s="16"/>
      <c r="M19" s="17" t="n">
        <f aca="false">COUNTIF(H19:L19,"×")</f>
        <v>0</v>
      </c>
      <c r="N19" s="18"/>
    </row>
    <row r="20" customFormat="false" ht="43.5" hidden="false" customHeight="true" outlineLevel="0" collapsed="false">
      <c r="A20" s="14" t="n">
        <v>12</v>
      </c>
      <c r="B20" s="15" t="s">
        <v>221</v>
      </c>
      <c r="C20" s="14" t="s">
        <v>82</v>
      </c>
      <c r="D20" s="15" t="s">
        <v>222</v>
      </c>
      <c r="E20" s="15" t="s">
        <v>223</v>
      </c>
      <c r="F20" s="19" t="s">
        <v>219</v>
      </c>
      <c r="G20" s="15" t="s">
        <v>121</v>
      </c>
      <c r="H20" s="16"/>
      <c r="I20" s="16"/>
      <c r="J20" s="16"/>
      <c r="K20" s="16"/>
      <c r="L20" s="16"/>
      <c r="M20" s="17" t="n">
        <f aca="false">COUNTIF(H20:L20,"×")</f>
        <v>0</v>
      </c>
      <c r="N20" s="18"/>
    </row>
    <row r="21" customFormat="false" ht="19.5" hidden="false" customHeight="true" outlineLevel="0" collapsed="false">
      <c r="A21" s="13" t="s">
        <v>224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customFormat="false" ht="43.5" hidden="false" customHeight="true" outlineLevel="0" collapsed="false">
      <c r="A22" s="14" t="n">
        <v>13</v>
      </c>
      <c r="B22" s="15" t="s">
        <v>225</v>
      </c>
      <c r="C22" s="14" t="s">
        <v>82</v>
      </c>
      <c r="D22" s="15" t="s">
        <v>226</v>
      </c>
      <c r="E22" s="15" t="s">
        <v>227</v>
      </c>
      <c r="F22" s="19" t="s">
        <v>228</v>
      </c>
      <c r="G22" s="15" t="s">
        <v>229</v>
      </c>
      <c r="H22" s="16"/>
      <c r="I22" s="16"/>
      <c r="J22" s="16"/>
      <c r="K22" s="16"/>
      <c r="L22" s="16"/>
      <c r="M22" s="17" t="n">
        <f aca="false">COUNTIF(H22:L22,"×")</f>
        <v>0</v>
      </c>
      <c r="N22" s="18"/>
    </row>
    <row r="23" customFormat="false" ht="21.75" hidden="false" customHeight="true" outlineLevel="0" collapsed="false">
      <c r="A23" s="20" t="s">
        <v>230</v>
      </c>
      <c r="B23" s="20"/>
      <c r="C23" s="20"/>
      <c r="D23" s="20"/>
      <c r="E23" s="20"/>
      <c r="F23" s="20"/>
      <c r="G23" s="20"/>
      <c r="H23" s="21" t="n">
        <f aca="false">COUNTIF(H7:H22,"×")</f>
        <v>0</v>
      </c>
      <c r="I23" s="21" t="n">
        <f aca="false">COUNTIF(I7:I22,"×")</f>
        <v>0</v>
      </c>
      <c r="J23" s="21" t="n">
        <f aca="false">COUNTIF(J7:J22,"×")</f>
        <v>0</v>
      </c>
      <c r="K23" s="21" t="n">
        <f aca="false">COUNTIF(K7:K22,"×")</f>
        <v>0</v>
      </c>
      <c r="L23" s="21" t="n">
        <f aca="false">COUNTIF(L7:L22,"×")</f>
        <v>0</v>
      </c>
    </row>
    <row r="24" customFormat="false" ht="21.75" hidden="false" customHeight="true" outlineLevel="0" collapsed="false">
      <c r="A24" s="20" t="s">
        <v>172</v>
      </c>
      <c r="B24" s="20"/>
      <c r="C24" s="20"/>
      <c r="D24" s="20"/>
      <c r="E24" s="20"/>
      <c r="F24" s="20"/>
      <c r="G24" s="20"/>
      <c r="H24" s="22"/>
      <c r="I24" s="22"/>
      <c r="J24" s="22"/>
      <c r="K24" s="22"/>
      <c r="L24" s="22"/>
    </row>
    <row r="25" customFormat="false" ht="21.75" hidden="false" customHeight="true" outlineLevel="0" collapsed="false">
      <c r="A25" s="20" t="s">
        <v>173</v>
      </c>
      <c r="B25" s="20"/>
      <c r="C25" s="20"/>
      <c r="D25" s="20"/>
      <c r="E25" s="20"/>
      <c r="F25" s="20"/>
      <c r="G25" s="20"/>
      <c r="H25" s="22"/>
      <c r="I25" s="22"/>
      <c r="J25" s="22"/>
      <c r="K25" s="22"/>
      <c r="L25" s="22"/>
    </row>
  </sheetData>
  <mergeCells count="13">
    <mergeCell ref="A1:N1"/>
    <mergeCell ref="A2:N2"/>
    <mergeCell ref="C3:D3"/>
    <mergeCell ref="F3:G3"/>
    <mergeCell ref="C4:D4"/>
    <mergeCell ref="F4:G4"/>
    <mergeCell ref="A6:N6"/>
    <mergeCell ref="A11:N11"/>
    <mergeCell ref="A16:N16"/>
    <mergeCell ref="A21:N21"/>
    <mergeCell ref="A23:G23"/>
    <mergeCell ref="A24:G24"/>
    <mergeCell ref="A25:G25"/>
  </mergeCells>
  <conditionalFormatting sqref="H7:L22">
    <cfRule type="cellIs" priority="2" operator="equal" aboveAverage="0" equalAverage="0" bottom="0" percent="0" rank="0" text="" dxfId="0">
      <formula>"×"</formula>
    </cfRule>
    <cfRule type="cellIs" priority="3" operator="equal" aboveAverage="0" equalAverage="0" bottom="0" percent="0" rank="0" text="" dxfId="1">
      <formula>"△"</formula>
    </cfRule>
  </conditionalFormatting>
  <dataValidations count="1">
    <dataValidation allowBlank="true" error="ใช้ ○ △ × หรือ — เท่านั้น" errorStyle="stop" errorTitle="ผลตรวจ" operator="between" prompt="○ ปกติ · △ เฝ้าดู · × ผิดปกติ · — ไม่ได้ตรวจ" promptTitle="ผลตรวจ" showDropDown="false" showErrorMessage="false" showInputMessage="false" sqref="H7:L10 H12:L15 H17:L20 H22:L22" type="list">
      <formula1>"○,△,×,—"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5" topLeftCell="H6" activePane="bottomRight" state="frozen"/>
      <selection pane="topLeft" activeCell="A1" activeCellId="0" sqref="A1"/>
      <selection pane="topRight" activeCell="H1" activeCellId="0" sqref="H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34"/>
    <col collapsed="false" customWidth="true" hidden="false" outlineLevel="0" max="6" min="6" style="0" width="17"/>
    <col collapsed="false" customWidth="true" hidden="false" outlineLevel="0" max="7" min="7" style="0" width="15"/>
    <col collapsed="false" customWidth="true" hidden="false" outlineLevel="0" max="19" min="8" style="0" width="6"/>
    <col collapsed="false" customWidth="true" hidden="false" outlineLevel="0" max="20" min="20" style="0" width="7"/>
    <col collapsed="false" customWidth="true" hidden="false" outlineLevel="0" max="21" min="21" style="0" width="26"/>
  </cols>
  <sheetData>
    <row r="1" customFormat="false" ht="30" hidden="false" customHeight="true" outlineLevel="0" collapsed="false">
      <c r="A1" s="1" t="s">
        <v>231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1.9" hidden="false" customHeight="false" outlineLevel="0" collapsed="false">
      <c r="A2" s="2" t="s">
        <v>232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19.5" hidden="false" customHeight="true" outlineLevel="0" collapsed="false">
      <c r="B3" s="9" t="s">
        <v>28</v>
      </c>
      <c r="C3" s="10"/>
      <c r="D3" s="10"/>
      <c r="E3" s="9" t="s">
        <v>29</v>
      </c>
      <c r="F3" s="10"/>
      <c r="G3" s="10"/>
    </row>
    <row r="4" customFormat="false" ht="19.5" hidden="false" customHeight="true" outlineLevel="0" collapsed="false">
      <c r="B4" s="9" t="s">
        <v>233</v>
      </c>
      <c r="C4" s="10"/>
      <c r="D4" s="10"/>
      <c r="E4" s="9" t="s">
        <v>34</v>
      </c>
      <c r="F4" s="10"/>
      <c r="G4" s="10"/>
    </row>
    <row r="5" customFormat="false" ht="31.5" hidden="false" customHeight="true" outlineLevel="0" collapsed="false">
      <c r="A5" s="12" t="s">
        <v>35</v>
      </c>
      <c r="B5" s="12" t="s">
        <v>36</v>
      </c>
      <c r="C5" s="12" t="s">
        <v>234</v>
      </c>
      <c r="D5" s="12" t="s">
        <v>38</v>
      </c>
      <c r="E5" s="12" t="s">
        <v>39</v>
      </c>
      <c r="F5" s="12" t="s">
        <v>20</v>
      </c>
      <c r="G5" s="12" t="s">
        <v>40</v>
      </c>
      <c r="H5" s="12" t="s">
        <v>235</v>
      </c>
      <c r="I5" s="12" t="s">
        <v>236</v>
      </c>
      <c r="J5" s="12" t="s">
        <v>237</v>
      </c>
      <c r="K5" s="12" t="s">
        <v>238</v>
      </c>
      <c r="L5" s="12" t="s">
        <v>239</v>
      </c>
      <c r="M5" s="12" t="s">
        <v>240</v>
      </c>
      <c r="N5" s="12" t="s">
        <v>241</v>
      </c>
      <c r="O5" s="12" t="s">
        <v>242</v>
      </c>
      <c r="P5" s="12" t="s">
        <v>243</v>
      </c>
      <c r="Q5" s="12" t="s">
        <v>244</v>
      </c>
      <c r="R5" s="12" t="s">
        <v>245</v>
      </c>
      <c r="S5" s="12" t="s">
        <v>246</v>
      </c>
      <c r="T5" s="12" t="s">
        <v>72</v>
      </c>
      <c r="U5" s="12" t="s">
        <v>73</v>
      </c>
    </row>
    <row r="6" customFormat="false" ht="19.5" hidden="false" customHeight="true" outlineLevel="0" collapsed="false">
      <c r="A6" s="13" t="s">
        <v>247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</row>
    <row r="7" customFormat="false" ht="43.5" hidden="false" customHeight="true" outlineLevel="0" collapsed="false">
      <c r="A7" s="14" t="n">
        <v>1</v>
      </c>
      <c r="B7" s="15" t="s">
        <v>248</v>
      </c>
      <c r="C7" s="14" t="s">
        <v>249</v>
      </c>
      <c r="D7" s="15" t="s">
        <v>250</v>
      </c>
      <c r="E7" s="15" t="s">
        <v>251</v>
      </c>
      <c r="F7" s="15" t="s">
        <v>252</v>
      </c>
      <c r="G7" s="15" t="s">
        <v>229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7" t="n">
        <f aca="false">COUNTIF(H7:S7,"×")</f>
        <v>0</v>
      </c>
      <c r="U7" s="18"/>
    </row>
    <row r="8" customFormat="false" ht="43.5" hidden="false" customHeight="true" outlineLevel="0" collapsed="false">
      <c r="A8" s="14" t="n">
        <v>2</v>
      </c>
      <c r="B8" s="15" t="s">
        <v>253</v>
      </c>
      <c r="C8" s="14" t="s">
        <v>249</v>
      </c>
      <c r="D8" s="15" t="s">
        <v>254</v>
      </c>
      <c r="E8" s="15" t="s">
        <v>89</v>
      </c>
      <c r="F8" s="15" t="s">
        <v>252</v>
      </c>
      <c r="G8" s="15" t="s">
        <v>229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7" t="n">
        <f aca="false">COUNTIF(H8:S8,"×")</f>
        <v>0</v>
      </c>
      <c r="U8" s="18"/>
    </row>
    <row r="9" customFormat="false" ht="19.5" hidden="false" customHeight="true" outlineLevel="0" collapsed="false">
      <c r="A9" s="13" t="s">
        <v>255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 customFormat="false" ht="43.5" hidden="false" customHeight="true" outlineLevel="0" collapsed="false">
      <c r="A10" s="14" t="n">
        <v>3</v>
      </c>
      <c r="B10" s="15" t="s">
        <v>256</v>
      </c>
      <c r="C10" s="23" t="s">
        <v>31</v>
      </c>
      <c r="D10" s="15" t="s">
        <v>31</v>
      </c>
      <c r="E10" s="15" t="s">
        <v>257</v>
      </c>
      <c r="F10" s="19" t="s">
        <v>258</v>
      </c>
      <c r="G10" s="15" t="s">
        <v>169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7" t="n">
        <f aca="false">COUNTIF(H10:S10,"×")</f>
        <v>0</v>
      </c>
      <c r="U10" s="18"/>
    </row>
    <row r="11" customFormat="false" ht="43.5" hidden="false" customHeight="true" outlineLevel="0" collapsed="false">
      <c r="A11" s="14" t="n">
        <v>4</v>
      </c>
      <c r="B11" s="15" t="s">
        <v>259</v>
      </c>
      <c r="C11" s="23" t="s">
        <v>31</v>
      </c>
      <c r="D11" s="15" t="s">
        <v>31</v>
      </c>
      <c r="E11" s="15" t="s">
        <v>260</v>
      </c>
      <c r="F11" s="19" t="s">
        <v>258</v>
      </c>
      <c r="G11" s="15" t="s">
        <v>169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7" t="n">
        <f aca="false">COUNTIF(H11:S11,"×")</f>
        <v>0</v>
      </c>
      <c r="U11" s="18"/>
    </row>
    <row r="12" customFormat="false" ht="43.5" hidden="false" customHeight="true" outlineLevel="0" collapsed="false">
      <c r="A12" s="14" t="n">
        <v>5</v>
      </c>
      <c r="B12" s="15" t="s">
        <v>261</v>
      </c>
      <c r="C12" s="23" t="s">
        <v>31</v>
      </c>
      <c r="D12" s="15" t="s">
        <v>262</v>
      </c>
      <c r="E12" s="15" t="s">
        <v>263</v>
      </c>
      <c r="F12" s="19" t="s">
        <v>258</v>
      </c>
      <c r="G12" s="15" t="s">
        <v>169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7" t="n">
        <f aca="false">COUNTIF(H12:S12,"×")</f>
        <v>0</v>
      </c>
      <c r="U12" s="18"/>
    </row>
    <row r="13" customFormat="false" ht="43.5" hidden="false" customHeight="true" outlineLevel="0" collapsed="false">
      <c r="A13" s="14" t="n">
        <v>6</v>
      </c>
      <c r="B13" s="15" t="s">
        <v>264</v>
      </c>
      <c r="C13" s="23" t="s">
        <v>31</v>
      </c>
      <c r="D13" s="15" t="s">
        <v>265</v>
      </c>
      <c r="E13" s="15" t="s">
        <v>266</v>
      </c>
      <c r="F13" s="19" t="s">
        <v>258</v>
      </c>
      <c r="G13" s="15" t="s">
        <v>169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7" t="n">
        <f aca="false">COUNTIF(H13:S13,"×")</f>
        <v>0</v>
      </c>
      <c r="U13" s="18"/>
    </row>
    <row r="14" customFormat="false" ht="19.5" hidden="false" customHeight="true" outlineLevel="0" collapsed="false">
      <c r="A14" s="13" t="s">
        <v>267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</row>
    <row r="15" customFormat="false" ht="43.5" hidden="false" customHeight="true" outlineLevel="0" collapsed="false">
      <c r="A15" s="14" t="n">
        <v>7</v>
      </c>
      <c r="B15" s="15" t="s">
        <v>268</v>
      </c>
      <c r="C15" s="23" t="s">
        <v>31</v>
      </c>
      <c r="D15" s="15" t="s">
        <v>269</v>
      </c>
      <c r="E15" s="15" t="s">
        <v>270</v>
      </c>
      <c r="F15" s="19" t="s">
        <v>271</v>
      </c>
      <c r="G15" s="15" t="s">
        <v>272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7" t="n">
        <f aca="false">COUNTIF(H15:S15,"×")</f>
        <v>0</v>
      </c>
      <c r="U15" s="18"/>
    </row>
    <row r="16" customFormat="false" ht="21.75" hidden="false" customHeight="true" outlineLevel="0" collapsed="false">
      <c r="A16" s="20" t="s">
        <v>273</v>
      </c>
      <c r="B16" s="20"/>
      <c r="C16" s="20"/>
      <c r="D16" s="20"/>
      <c r="E16" s="20"/>
      <c r="F16" s="20"/>
      <c r="G16" s="20"/>
      <c r="H16" s="21" t="n">
        <f aca="false">COUNTIF(H7:H15,"×")</f>
        <v>0</v>
      </c>
      <c r="I16" s="21" t="n">
        <f aca="false">COUNTIF(I7:I15,"×")</f>
        <v>0</v>
      </c>
      <c r="J16" s="21" t="n">
        <f aca="false">COUNTIF(J7:J15,"×")</f>
        <v>0</v>
      </c>
      <c r="K16" s="21" t="n">
        <f aca="false">COUNTIF(K7:K15,"×")</f>
        <v>0</v>
      </c>
      <c r="L16" s="21" t="n">
        <f aca="false">COUNTIF(L7:L15,"×")</f>
        <v>0</v>
      </c>
      <c r="M16" s="21" t="n">
        <f aca="false">COUNTIF(M7:M15,"×")</f>
        <v>0</v>
      </c>
      <c r="N16" s="21" t="n">
        <f aca="false">COUNTIF(N7:N15,"×")</f>
        <v>0</v>
      </c>
      <c r="O16" s="21" t="n">
        <f aca="false">COUNTIF(O7:O15,"×")</f>
        <v>0</v>
      </c>
      <c r="P16" s="21" t="n">
        <f aca="false">COUNTIF(P7:P15,"×")</f>
        <v>0</v>
      </c>
      <c r="Q16" s="21" t="n">
        <f aca="false">COUNTIF(Q7:Q15,"×")</f>
        <v>0</v>
      </c>
      <c r="R16" s="21" t="n">
        <f aca="false">COUNTIF(R7:R15,"×")</f>
        <v>0</v>
      </c>
      <c r="S16" s="21" t="n">
        <f aca="false">COUNTIF(S7:S15,"×")</f>
        <v>0</v>
      </c>
    </row>
    <row r="17" customFormat="false" ht="21.75" hidden="false" customHeight="true" outlineLevel="0" collapsed="false">
      <c r="A17" s="20" t="s">
        <v>172</v>
      </c>
      <c r="B17" s="20"/>
      <c r="C17" s="20"/>
      <c r="D17" s="20"/>
      <c r="E17" s="20"/>
      <c r="F17" s="20"/>
      <c r="G17" s="20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</row>
  </sheetData>
  <mergeCells count="11">
    <mergeCell ref="A1:U1"/>
    <mergeCell ref="A2:U2"/>
    <mergeCell ref="C3:D3"/>
    <mergeCell ref="F3:G3"/>
    <mergeCell ref="C4:D4"/>
    <mergeCell ref="F4:G4"/>
    <mergeCell ref="A6:U6"/>
    <mergeCell ref="A9:U9"/>
    <mergeCell ref="A14:U14"/>
    <mergeCell ref="A16:G16"/>
    <mergeCell ref="A17:G17"/>
  </mergeCells>
  <conditionalFormatting sqref="H7:S15">
    <cfRule type="cellIs" priority="2" operator="equal" aboveAverage="0" equalAverage="0" bottom="0" percent="0" rank="0" text="" dxfId="0">
      <formula>"×"</formula>
    </cfRule>
    <cfRule type="cellIs" priority="3" operator="equal" aboveAverage="0" equalAverage="0" bottom="0" percent="0" rank="0" text="" dxfId="1">
      <formula>"△"</formula>
    </cfRule>
  </conditionalFormatting>
  <dataValidations count="1">
    <dataValidation allowBlank="true" error="ใช้ ○ △ × หรือ — เท่านั้น" errorStyle="stop" errorTitle="ผลตรวจ" operator="between" prompt="○ ปกติ · △ เฝ้าดู · × ผิดปกติ · — ไม่ได้ตรวจ" promptTitle="ผลตรวจ" showDropDown="false" showErrorMessage="false" showInputMessage="false" sqref="H7:S8 H10:S13 H15:S15" type="list">
      <formula1>"○,△,×,—"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60"/>
  </cols>
  <sheetData>
    <row r="1" customFormat="false" ht="30" hidden="false" customHeight="true" outlineLevel="0" collapsed="false">
      <c r="A1" s="1" t="s">
        <v>274</v>
      </c>
      <c r="B1" s="1"/>
      <c r="C1" s="1"/>
      <c r="D1" s="1"/>
    </row>
    <row r="2" customFormat="false" ht="11.9" hidden="false" customHeight="false" outlineLevel="0" collapsed="false">
      <c r="A2" s="2" t="s">
        <v>275</v>
      </c>
      <c r="B2" s="2"/>
      <c r="C2" s="2"/>
      <c r="D2" s="2"/>
    </row>
    <row r="4" customFormat="false" ht="14.9" hidden="false" customHeight="false" outlineLevel="0" collapsed="false">
      <c r="A4" s="24" t="s">
        <v>276</v>
      </c>
      <c r="B4" s="24"/>
      <c r="C4" s="24"/>
      <c r="D4" s="24"/>
    </row>
    <row r="5" customFormat="false" ht="15" hidden="false" customHeight="false" outlineLevel="0" collapsed="false">
      <c r="A5" s="12" t="s">
        <v>277</v>
      </c>
      <c r="B5" s="12" t="s">
        <v>278</v>
      </c>
      <c r="C5" s="12" t="s">
        <v>279</v>
      </c>
      <c r="D5" s="12"/>
    </row>
    <row r="6" customFormat="false" ht="30" hidden="false" customHeight="true" outlineLevel="0" collapsed="false">
      <c r="A6" s="15" t="s">
        <v>280</v>
      </c>
      <c r="B6" s="15" t="s">
        <v>281</v>
      </c>
      <c r="C6" s="15" t="s">
        <v>282</v>
      </c>
      <c r="D6" s="15"/>
    </row>
    <row r="7" customFormat="false" ht="30" hidden="false" customHeight="true" outlineLevel="0" collapsed="false">
      <c r="A7" s="15" t="s">
        <v>283</v>
      </c>
      <c r="B7" s="15" t="s">
        <v>281</v>
      </c>
      <c r="C7" s="15" t="s">
        <v>284</v>
      </c>
      <c r="D7" s="15"/>
    </row>
    <row r="8" customFormat="false" ht="30" hidden="false" customHeight="true" outlineLevel="0" collapsed="false">
      <c r="A8" s="15" t="s">
        <v>285</v>
      </c>
      <c r="B8" s="15" t="s">
        <v>286</v>
      </c>
      <c r="C8" s="15" t="s">
        <v>287</v>
      </c>
      <c r="D8" s="15"/>
    </row>
    <row r="9" customFormat="false" ht="30" hidden="false" customHeight="true" outlineLevel="0" collapsed="false">
      <c r="A9" s="15" t="s">
        <v>288</v>
      </c>
      <c r="B9" s="15" t="s">
        <v>289</v>
      </c>
      <c r="C9" s="15" t="s">
        <v>290</v>
      </c>
      <c r="D9" s="15"/>
    </row>
    <row r="10" customFormat="false" ht="30" hidden="false" customHeight="true" outlineLevel="0" collapsed="false">
      <c r="A10" s="15" t="s">
        <v>291</v>
      </c>
      <c r="B10" s="15" t="s">
        <v>292</v>
      </c>
      <c r="C10" s="15" t="s">
        <v>293</v>
      </c>
      <c r="D10" s="15"/>
    </row>
    <row r="11" customFormat="false" ht="30" hidden="false" customHeight="true" outlineLevel="0" collapsed="false">
      <c r="A11" s="15" t="s">
        <v>291</v>
      </c>
      <c r="B11" s="15" t="s">
        <v>294</v>
      </c>
      <c r="C11" s="15" t="s">
        <v>295</v>
      </c>
      <c r="D11" s="15"/>
    </row>
    <row r="12" customFormat="false" ht="15" hidden="false" customHeight="false" outlineLevel="0" collapsed="false">
      <c r="A12" s="25" t="s">
        <v>296</v>
      </c>
    </row>
    <row r="14" customFormat="false" ht="14.9" hidden="false" customHeight="false" outlineLevel="0" collapsed="false">
      <c r="A14" s="24" t="s">
        <v>297</v>
      </c>
      <c r="B14" s="24"/>
      <c r="C14" s="24"/>
      <c r="D14" s="24"/>
    </row>
    <row r="15" customFormat="false" ht="15" hidden="false" customHeight="false" outlineLevel="0" collapsed="false">
      <c r="A15" s="12" t="s">
        <v>298</v>
      </c>
      <c r="B15" s="12" t="s">
        <v>299</v>
      </c>
      <c r="C15" s="12" t="s">
        <v>300</v>
      </c>
      <c r="D15" s="12"/>
    </row>
    <row r="16" customFormat="false" ht="30" hidden="false" customHeight="true" outlineLevel="0" collapsed="false">
      <c r="A16" s="15" t="s">
        <v>301</v>
      </c>
      <c r="B16" s="15" t="s">
        <v>302</v>
      </c>
      <c r="C16" s="15" t="s">
        <v>303</v>
      </c>
      <c r="D16" s="15"/>
    </row>
    <row r="17" customFormat="false" ht="30" hidden="false" customHeight="true" outlineLevel="0" collapsed="false">
      <c r="A17" s="15" t="s">
        <v>304</v>
      </c>
      <c r="B17" s="15" t="s">
        <v>305</v>
      </c>
      <c r="C17" s="15" t="s">
        <v>306</v>
      </c>
      <c r="D17" s="15"/>
    </row>
    <row r="18" customFormat="false" ht="30" hidden="false" customHeight="true" outlineLevel="0" collapsed="false">
      <c r="A18" s="15" t="s">
        <v>307</v>
      </c>
      <c r="B18" s="15" t="s">
        <v>308</v>
      </c>
      <c r="C18" s="15" t="s">
        <v>309</v>
      </c>
      <c r="D18" s="15"/>
    </row>
    <row r="19" customFormat="false" ht="30" hidden="false" customHeight="true" outlineLevel="0" collapsed="false">
      <c r="A19" s="15" t="s">
        <v>310</v>
      </c>
      <c r="B19" s="15" t="s">
        <v>311</v>
      </c>
      <c r="C19" s="15" t="s">
        <v>312</v>
      </c>
      <c r="D19" s="15"/>
    </row>
    <row r="20" customFormat="false" ht="30" hidden="false" customHeight="true" outlineLevel="0" collapsed="false">
      <c r="A20" s="15" t="s">
        <v>313</v>
      </c>
      <c r="B20" s="15" t="s">
        <v>314</v>
      </c>
      <c r="C20" s="15" t="s">
        <v>312</v>
      </c>
      <c r="D20" s="15"/>
    </row>
    <row r="21" customFormat="false" ht="30" hidden="false" customHeight="true" outlineLevel="0" collapsed="false">
      <c r="A21" s="15" t="s">
        <v>315</v>
      </c>
      <c r="B21" s="15" t="s">
        <v>316</v>
      </c>
      <c r="C21" s="15" t="s">
        <v>317</v>
      </c>
      <c r="D21" s="15"/>
    </row>
    <row r="22" customFormat="false" ht="30" hidden="false" customHeight="true" outlineLevel="0" collapsed="false">
      <c r="A22" s="15" t="s">
        <v>318</v>
      </c>
      <c r="B22" s="15" t="s">
        <v>319</v>
      </c>
      <c r="C22" s="15" t="s">
        <v>320</v>
      </c>
      <c r="D22" s="15"/>
    </row>
    <row r="23" customFormat="false" ht="15" hidden="false" customHeight="false" outlineLevel="0" collapsed="false">
      <c r="A23" s="25" t="s">
        <v>321</v>
      </c>
    </row>
    <row r="25" customFormat="false" ht="14.9" hidden="false" customHeight="false" outlineLevel="0" collapsed="false">
      <c r="A25" s="24" t="s">
        <v>322</v>
      </c>
      <c r="B25" s="24"/>
      <c r="C25" s="24"/>
      <c r="D25" s="24"/>
    </row>
    <row r="26" customFormat="false" ht="15" hidden="false" customHeight="false" outlineLevel="0" collapsed="false">
      <c r="A26" s="12" t="s">
        <v>323</v>
      </c>
      <c r="B26" s="12" t="s">
        <v>324</v>
      </c>
      <c r="C26" s="12" t="s">
        <v>325</v>
      </c>
      <c r="D26" s="12" t="s">
        <v>326</v>
      </c>
    </row>
    <row r="27" customFormat="false" ht="30" hidden="false" customHeight="true" outlineLevel="0" collapsed="false">
      <c r="A27" s="15" t="s">
        <v>327</v>
      </c>
      <c r="B27" s="15" t="s">
        <v>328</v>
      </c>
      <c r="C27" s="15" t="s">
        <v>329</v>
      </c>
      <c r="D27" s="15" t="s">
        <v>330</v>
      </c>
    </row>
    <row r="28" customFormat="false" ht="30" hidden="false" customHeight="true" outlineLevel="0" collapsed="false">
      <c r="A28" s="15" t="s">
        <v>331</v>
      </c>
      <c r="B28" s="15" t="s">
        <v>332</v>
      </c>
      <c r="C28" s="15" t="s">
        <v>329</v>
      </c>
      <c r="D28" s="15" t="s">
        <v>333</v>
      </c>
    </row>
    <row r="29" customFormat="false" ht="30" hidden="false" customHeight="true" outlineLevel="0" collapsed="false">
      <c r="A29" s="15" t="s">
        <v>334</v>
      </c>
      <c r="B29" s="15" t="s">
        <v>335</v>
      </c>
      <c r="C29" s="15" t="s">
        <v>281</v>
      </c>
      <c r="D29" s="15" t="s">
        <v>336</v>
      </c>
    </row>
    <row r="30" customFormat="false" ht="30" hidden="false" customHeight="true" outlineLevel="0" collapsed="false">
      <c r="A30" s="15" t="s">
        <v>337</v>
      </c>
      <c r="B30" s="15" t="s">
        <v>338</v>
      </c>
      <c r="C30" s="15" t="s">
        <v>329</v>
      </c>
      <c r="D30" s="15" t="s">
        <v>339</v>
      </c>
    </row>
    <row r="31" customFormat="false" ht="30" hidden="false" customHeight="true" outlineLevel="0" collapsed="false">
      <c r="A31" s="15" t="s">
        <v>340</v>
      </c>
      <c r="B31" s="15" t="s">
        <v>281</v>
      </c>
      <c r="C31" s="15" t="s">
        <v>329</v>
      </c>
      <c r="D31" s="15" t="s">
        <v>341</v>
      </c>
    </row>
    <row r="32" customFormat="false" ht="30" hidden="false" customHeight="true" outlineLevel="0" collapsed="false">
      <c r="A32" s="15" t="s">
        <v>342</v>
      </c>
      <c r="B32" s="15" t="s">
        <v>343</v>
      </c>
      <c r="C32" s="15" t="s">
        <v>344</v>
      </c>
      <c r="D32" s="15" t="s">
        <v>345</v>
      </c>
    </row>
    <row r="33" customFormat="false" ht="30" hidden="false" customHeight="true" outlineLevel="0" collapsed="false">
      <c r="A33" s="15" t="s">
        <v>346</v>
      </c>
      <c r="B33" s="15" t="s">
        <v>347</v>
      </c>
      <c r="C33" s="15" t="s">
        <v>329</v>
      </c>
      <c r="D33" s="15" t="s">
        <v>348</v>
      </c>
    </row>
    <row r="36" customFormat="false" ht="14.9" hidden="false" customHeight="false" outlineLevel="0" collapsed="false">
      <c r="A36" s="24" t="s">
        <v>349</v>
      </c>
      <c r="B36" s="24"/>
      <c r="C36" s="24"/>
      <c r="D36" s="24"/>
    </row>
    <row r="37" customFormat="false" ht="15" hidden="false" customHeight="false" outlineLevel="0" collapsed="false">
      <c r="A37" s="12" t="s">
        <v>350</v>
      </c>
      <c r="B37" s="12" t="s">
        <v>300</v>
      </c>
      <c r="C37" s="12" t="s">
        <v>351</v>
      </c>
      <c r="D37" s="12"/>
    </row>
    <row r="38" customFormat="false" ht="30" hidden="false" customHeight="true" outlineLevel="0" collapsed="false">
      <c r="A38" s="15" t="s">
        <v>352</v>
      </c>
      <c r="B38" s="15" t="s">
        <v>353</v>
      </c>
      <c r="C38" s="15" t="s">
        <v>354</v>
      </c>
      <c r="D38" s="15"/>
    </row>
    <row r="39" customFormat="false" ht="30" hidden="false" customHeight="true" outlineLevel="0" collapsed="false">
      <c r="A39" s="15" t="s">
        <v>355</v>
      </c>
      <c r="B39" s="15" t="s">
        <v>356</v>
      </c>
      <c r="C39" s="15" t="s">
        <v>357</v>
      </c>
      <c r="D39" s="15"/>
    </row>
    <row r="40" customFormat="false" ht="30" hidden="false" customHeight="true" outlineLevel="0" collapsed="false">
      <c r="A40" s="15" t="s">
        <v>358</v>
      </c>
      <c r="B40" s="15" t="s">
        <v>359</v>
      </c>
      <c r="C40" s="15" t="s">
        <v>360</v>
      </c>
      <c r="D40" s="15"/>
    </row>
  </sheetData>
  <mergeCells count="6">
    <mergeCell ref="A1:D1"/>
    <mergeCell ref="A2:D2"/>
    <mergeCell ref="A4:D4"/>
    <mergeCell ref="A14:D14"/>
    <mergeCell ref="A25:D25"/>
    <mergeCell ref="A36:D36"/>
  </mergeCells>
  <printOptions headings="false" gridLines="false" gridLinesSet="true" horizontalCentered="true" verticalCentered="false"/>
  <pageMargins left="0.3" right="0.3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28"/>
  </cols>
  <sheetData>
    <row r="1" customFormat="false" ht="30" hidden="false" customHeight="true" outlineLevel="0" collapsed="false">
      <c r="A1" s="1" t="s">
        <v>361</v>
      </c>
      <c r="B1" s="1"/>
      <c r="C1" s="1"/>
      <c r="D1" s="1"/>
      <c r="E1" s="1"/>
      <c r="F1" s="1"/>
      <c r="G1" s="1"/>
    </row>
    <row r="2" customFormat="false" ht="11.9" hidden="false" customHeight="false" outlineLevel="0" collapsed="false">
      <c r="A2" s="2" t="s">
        <v>362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12" t="s">
        <v>35</v>
      </c>
      <c r="B4" s="12" t="s">
        <v>363</v>
      </c>
      <c r="C4" s="12" t="s">
        <v>364</v>
      </c>
      <c r="D4" s="12" t="s">
        <v>365</v>
      </c>
      <c r="E4" s="12" t="s">
        <v>366</v>
      </c>
      <c r="F4" s="12" t="s">
        <v>367</v>
      </c>
      <c r="G4" s="12" t="s">
        <v>368</v>
      </c>
    </row>
    <row r="5" customFormat="false" ht="33.75" hidden="false" customHeight="true" outlineLevel="0" collapsed="false">
      <c r="A5" s="14" t="n">
        <v>1</v>
      </c>
      <c r="B5" s="15" t="s">
        <v>369</v>
      </c>
      <c r="C5" s="15" t="s">
        <v>370</v>
      </c>
      <c r="D5" s="15" t="s">
        <v>371</v>
      </c>
      <c r="E5" s="10"/>
      <c r="F5" s="10"/>
      <c r="G5" s="10"/>
    </row>
    <row r="6" customFormat="false" ht="33.75" hidden="false" customHeight="true" outlineLevel="0" collapsed="false">
      <c r="A6" s="14" t="n">
        <v>2</v>
      </c>
      <c r="B6" s="15" t="s">
        <v>372</v>
      </c>
      <c r="C6" s="15" t="s">
        <v>373</v>
      </c>
      <c r="D6" s="15" t="s">
        <v>374</v>
      </c>
      <c r="E6" s="10"/>
      <c r="F6" s="10"/>
      <c r="G6" s="10"/>
    </row>
    <row r="7" customFormat="false" ht="33.75" hidden="false" customHeight="true" outlineLevel="0" collapsed="false">
      <c r="A7" s="14" t="n">
        <v>3</v>
      </c>
      <c r="B7" s="15" t="s">
        <v>375</v>
      </c>
      <c r="C7" s="15" t="s">
        <v>376</v>
      </c>
      <c r="D7" s="15" t="s">
        <v>377</v>
      </c>
      <c r="E7" s="10"/>
      <c r="F7" s="10"/>
      <c r="G7" s="10"/>
    </row>
    <row r="8" customFormat="false" ht="33.75" hidden="false" customHeight="true" outlineLevel="0" collapsed="false">
      <c r="A8" s="14" t="n">
        <v>4</v>
      </c>
      <c r="B8" s="15" t="s">
        <v>378</v>
      </c>
      <c r="C8" s="15" t="s">
        <v>379</v>
      </c>
      <c r="D8" s="15" t="s">
        <v>377</v>
      </c>
      <c r="E8" s="10"/>
      <c r="F8" s="10"/>
      <c r="G8" s="10"/>
    </row>
    <row r="9" customFormat="false" ht="33.75" hidden="false" customHeight="true" outlineLevel="0" collapsed="false">
      <c r="A9" s="14" t="n">
        <v>5</v>
      </c>
      <c r="B9" s="15" t="s">
        <v>380</v>
      </c>
      <c r="C9" s="15" t="s">
        <v>381</v>
      </c>
      <c r="D9" s="15" t="s">
        <v>382</v>
      </c>
      <c r="E9" s="10"/>
      <c r="F9" s="10"/>
      <c r="G9" s="10"/>
    </row>
    <row r="10" customFormat="false" ht="33.75" hidden="false" customHeight="true" outlineLevel="0" collapsed="false">
      <c r="A10" s="14" t="n">
        <v>6</v>
      </c>
      <c r="B10" s="15" t="s">
        <v>383</v>
      </c>
      <c r="C10" s="15" t="s">
        <v>384</v>
      </c>
      <c r="D10" s="15" t="s">
        <v>385</v>
      </c>
      <c r="E10" s="10"/>
      <c r="F10" s="10"/>
      <c r="G10" s="10"/>
    </row>
    <row r="11" customFormat="false" ht="33.75" hidden="false" customHeight="true" outlineLevel="0" collapsed="false">
      <c r="A11" s="14" t="n">
        <v>7</v>
      </c>
      <c r="B11" s="15" t="s">
        <v>386</v>
      </c>
      <c r="C11" s="15" t="s">
        <v>387</v>
      </c>
      <c r="D11" s="15" t="s">
        <v>388</v>
      </c>
      <c r="E11" s="10"/>
      <c r="F11" s="10"/>
      <c r="G11" s="10"/>
    </row>
    <row r="12" customFormat="false" ht="33.75" hidden="false" customHeight="true" outlineLevel="0" collapsed="false">
      <c r="A12" s="14" t="n">
        <v>8</v>
      </c>
      <c r="B12" s="15" t="s">
        <v>389</v>
      </c>
      <c r="C12" s="15" t="s">
        <v>390</v>
      </c>
      <c r="D12" s="15" t="s">
        <v>391</v>
      </c>
      <c r="E12" s="10"/>
      <c r="F12" s="10"/>
      <c r="G12" s="10"/>
    </row>
    <row r="13" customFormat="false" ht="33.75" hidden="false" customHeight="true" outlineLevel="0" collapsed="false">
      <c r="A13" s="14" t="n">
        <v>9</v>
      </c>
      <c r="B13" s="15" t="s">
        <v>392</v>
      </c>
      <c r="C13" s="15" t="s">
        <v>393</v>
      </c>
      <c r="D13" s="15" t="s">
        <v>394</v>
      </c>
      <c r="E13" s="10"/>
      <c r="F13" s="10"/>
      <c r="G13" s="10"/>
    </row>
    <row r="14" customFormat="false" ht="33.75" hidden="false" customHeight="true" outlineLevel="0" collapsed="false">
      <c r="A14" s="14" t="n">
        <v>10</v>
      </c>
      <c r="B14" s="15" t="s">
        <v>395</v>
      </c>
      <c r="C14" s="15" t="s">
        <v>396</v>
      </c>
      <c r="D14" s="15" t="s">
        <v>397</v>
      </c>
      <c r="E14" s="10"/>
      <c r="F14" s="10"/>
      <c r="G14" s="10"/>
    </row>
  </sheetData>
  <mergeCells count="2">
    <mergeCell ref="A1:G1"/>
    <mergeCell ref="A2:G2"/>
  </mergeCells>
  <printOptions headings="false" gridLines="false" gridLinesSet="true" horizontalCentered="true" verticalCentered="false"/>
  <pageMargins left="0.3" right="0.3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2026-10-05T02:53:51Z</dcterms:created>
  <dc:creator>openpyxl</dc:creator>
  <dc:description/>
  <dc:language>en-US</dc:language>
  <cp:lastModifiedBy/>
  <dcterms:modified xsi:type="dcterms:W3CDTF">2026-10-05T02:53:51Z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