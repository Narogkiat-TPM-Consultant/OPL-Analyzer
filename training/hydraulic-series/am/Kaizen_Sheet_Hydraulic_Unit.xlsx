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H-K1" sheetId="2" state="visible" r:id="rId4"/>
    <sheet name="H-K2" sheetId="3" state="visible" r:id="rId5"/>
    <sheet name="H-K3" sheetId="4" state="visible" r:id="rId6"/>
    <sheet name="H-K4" sheetId="5" state="visible" r:id="rId7"/>
    <sheet name="AI Image Prompts" sheetId="6" state="visible" r:id="rId8"/>
    <sheet name="Principles Trace" sheetId="7" state="visible" r:id="rId9"/>
    <sheet name="Self-Check"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<sst xmlns="http://schemas.openxmlformats.org/spreadsheetml/2006/main" count="498" uniqueCount="296">
  <si>
    <r>
      <rPr>
        <b val="true"/>
        <sz val="15"/>
        <color rgb="FFFFFFFF"/>
        <rFont val="Tahoma"/>
        <family val="0"/>
        <charset val="1"/>
      </rPr>
      <t xml:space="preserve">Kaizen Sheet — ระบบไฮดรอลิก (</t>
    </r>
    <r>
      <rPr>
        <b val="true"/>
        <sz val="15"/>
        <color rgb="FFFFFFFF"/>
        <rFont val="WenQuanYi Zen Hei"/>
        <family val="2"/>
      </rPr>
      <t xml:space="preserve">改善 </t>
    </r>
    <r>
      <rPr>
        <b val="true"/>
        <sz val="15"/>
        <color rgb="FFFFFFFF"/>
        <rFont val="Tahoma"/>
        <family val="0"/>
        <charset val="1"/>
      </rPr>
      <t xml:space="preserve">= Kaizen · One-Page ฟอร์ม Denso)</t>
    </r>
  </si>
  <si>
    <t xml:space="preserve">จาก AM_Standard_Hydraulic_Unit.xlsx ชีท Kaizen_IoT_CBM · เกณฑ์: HTA/SOC และใช้เวลา &gt; 2 นาที · เวลาก่อนทำ = ประมาณการ [INFERENCE: M] ต้องจับเวลาจริง · ครั้ง/ปี 312 = 26 วัน × 12 เดือน [ASSUME] · ช่องเหลือง = กรอกได้</t>
  </si>
  <si>
    <t xml:space="preserve">ค่าแรง (บาท/ชม.)</t>
  </si>
  <si>
    <t xml:space="preserve">[DATA REQUIRED] ใส่แล้วคอลัมน์ ‘บาท/ปี’ คำนวณให้</t>
  </si>
  <si>
    <t xml:space="preserve">No.</t>
  </si>
  <si>
    <t xml:space="preserve">Kaizen</t>
  </si>
  <si>
    <t xml:space="preserve">ชื่อผลงาน</t>
  </si>
  <si>
    <t xml:space="preserve">จุดใน AM Standard</t>
  </si>
  <si>
    <t xml:space="preserve">HTA / SOC</t>
  </si>
  <si>
    <t xml:space="preserve">ก่อน (นาที/ครั้ง)</t>
  </si>
  <si>
    <t xml:space="preserve">หลัง (นาที/ครั้ง) [PROPOSED]</t>
  </si>
  <si>
    <t xml:space="preserve">ครั้ง/ปี</t>
  </si>
  <si>
    <t xml:space="preserve">ลดได้ (นาที/ปี)</t>
  </si>
  <si>
    <t xml:space="preserve">บาท/ปี (ค่าแรง)</t>
  </si>
  <si>
    <t xml:space="preserve">ค่าใช้จ่ายสูงสุด (บาท)</t>
  </si>
  <si>
    <t xml:space="preserve">Priority</t>
  </si>
  <si>
    <t xml:space="preserve">ผู้รับผิดชอบ</t>
  </si>
  <si>
    <t xml:space="preserve">Self-Check (/20)</t>
  </si>
  <si>
    <t xml:space="preserve">Confidence</t>
  </si>
  <si>
    <t xml:space="preserve">สถานะ</t>
  </si>
  <si>
    <t xml:space="preserve">วันเสร็จ</t>
  </si>
  <si>
    <t xml:space="preserve">H-K1</t>
  </si>
  <si>
    <r>
      <rPr>
        <sz val="9"/>
        <color rgb="FF000000"/>
        <rFont val="Tahoma"/>
        <family val="0"/>
        <charset val="1"/>
      </rPr>
      <t xml:space="preserve">แผ่นซับใต้จุดรั่ว </t>
    </r>
    <r>
      <rPr>
        <sz val="9"/>
        <color rgb="FF000000"/>
        <rFont val="WenQuanYi Zen Hei"/>
        <family val="2"/>
      </rPr>
      <t xml:space="preserve">『</t>
    </r>
    <r>
      <rPr>
        <sz val="9"/>
        <color rgb="FF000000"/>
        <rFont val="Tahoma"/>
        <family val="0"/>
        <charset val="1"/>
      </rPr>
      <t xml:space="preserve">ผ้าขาวฟ้องรั่ว</t>
    </r>
    <r>
      <rPr>
        <sz val="9"/>
        <color rgb="FF000000"/>
        <rFont val="WenQuanYi Zen Hei"/>
        <family val="2"/>
      </rPr>
      <t xml:space="preserve">』</t>
    </r>
  </si>
  <si>
    <t xml:space="preserve">H01 / H25 (C · I)</t>
  </si>
  <si>
    <t xml:space="preserve">SOC</t>
  </si>
  <si>
    <t xml:space="preserve">P1</t>
  </si>
  <si>
    <t xml:space="preserve">Leader</t>
  </si>
  <si>
    <t xml:space="preserve">Level 3 · มีเคสหลักการใกล้เคียง (KRK-BLUE-252)</t>
  </si>
  <si>
    <t xml:space="preserve">วางแผน</t>
  </si>
  <si>
    <t xml:space="preserve">H-K2</t>
  </si>
  <si>
    <r>
      <rPr>
        <sz val="9"/>
        <color rgb="FF000000"/>
        <rFont val="Tahoma"/>
        <family val="0"/>
        <charset val="1"/>
      </rPr>
      <t xml:space="preserve">Match mark ที่ Lock nut · โบลต์ </t>
    </r>
    <r>
      <rPr>
        <sz val="9"/>
        <color rgb="FF000000"/>
        <rFont val="WenQuanYi Zen Hei"/>
        <family val="2"/>
      </rPr>
      <t xml:space="preserve">『</t>
    </r>
    <r>
      <rPr>
        <sz val="9"/>
        <color rgb="FF000000"/>
        <rFont val="Tahoma"/>
        <family val="0"/>
        <charset val="1"/>
      </rPr>
      <t xml:space="preserve">เส้นตรง = แน่น</t>
    </r>
    <r>
      <rPr>
        <sz val="9"/>
        <color rgb="FF000000"/>
        <rFont val="WenQuanYi Zen Hei"/>
        <family val="2"/>
      </rPr>
      <t xml:space="preserve">』</t>
    </r>
  </si>
  <si>
    <t xml:space="preserve">H12 / H17 / H21 (T)</t>
  </si>
  <si>
    <t xml:space="preserve">HTA</t>
  </si>
  <si>
    <t xml:space="preserve">Operator</t>
  </si>
  <si>
    <t xml:space="preserve">Level 4 · วิธีมาตรฐานที่ใช้แพร่หลาย (PT-3)</t>
  </si>
  <si>
    <t xml:space="preserve">H-K3</t>
  </si>
  <si>
    <r>
      <rPr>
        <sz val="9"/>
        <color rgb="FF000000"/>
        <rFont val="Tahoma"/>
        <family val="0"/>
        <charset val="1"/>
      </rPr>
      <t xml:space="preserve">IoT CBM สั่น + อุณหภูมิ ปั๊ม-มอเตอร์ </t>
    </r>
    <r>
      <rPr>
        <sz val="9"/>
        <color rgb="FF000000"/>
        <rFont val="WenQuanYi Zen Hei"/>
        <family val="2"/>
      </rPr>
      <t xml:space="preserve">『</t>
    </r>
    <r>
      <rPr>
        <sz val="9"/>
        <color rgb="FF000000"/>
        <rFont val="Tahoma"/>
        <family val="0"/>
        <charset val="1"/>
      </rPr>
      <t xml:space="preserve">ปั๊มฟ้องเอง</t>
    </r>
    <r>
      <rPr>
        <sz val="9"/>
        <color rgb="FF000000"/>
        <rFont val="WenQuanYi Zen Hei"/>
        <family val="2"/>
      </rPr>
      <t xml:space="preserve">』</t>
    </r>
  </si>
  <si>
    <t xml:space="preserve">H07 / H10 (I)</t>
  </si>
  <si>
    <t xml:space="preserve">P2</t>
  </si>
  <si>
    <t xml:space="preserve">Engineer</t>
  </si>
  <si>
    <t xml:space="preserve">Level 3 · หลักการ CBM ทั่วไป ยังไม่มี Baseline ของเครื่อง</t>
  </si>
  <si>
    <t xml:space="preserve">H-K4</t>
  </si>
  <si>
    <r>
      <rPr>
        <sz val="9"/>
        <color rgb="FF000000"/>
        <rFont val="Tahoma"/>
        <family val="0"/>
        <charset val="1"/>
      </rPr>
      <t xml:space="preserve">Air breather แบบ Oil bath </t>
    </r>
    <r>
      <rPr>
        <sz val="9"/>
        <color rgb="FF000000"/>
        <rFont val="WenQuanYi Zen Hei"/>
        <family val="2"/>
      </rPr>
      <t xml:space="preserve">『</t>
    </r>
    <r>
      <rPr>
        <sz val="9"/>
        <color rgb="FF000000"/>
        <rFont val="Tahoma"/>
        <family val="0"/>
        <charset val="1"/>
      </rPr>
      <t xml:space="preserve">ฝุ่นติดน้ำมัน ไม่เข้าถัง</t>
    </r>
    <r>
      <rPr>
        <sz val="9"/>
        <color rgb="FF000000"/>
        <rFont val="WenQuanYi Zen Hei"/>
        <family val="2"/>
      </rPr>
      <t xml:space="preserve">』</t>
    </r>
  </si>
  <si>
    <t xml:space="preserve">H05 (C)</t>
  </si>
  <si>
    <t xml:space="preserve">[DATA REQUIRED]</t>
  </si>
  <si>
    <t xml:space="preserve">P3</t>
  </si>
  <si>
    <t xml:space="preserve">PM</t>
  </si>
  <si>
    <t xml:space="preserve">Level 4 · ต้นฉบับแนะนำแบบ Oil bath สำหรับพื้นที่ฝุ่นมาก (p.22)</t>
  </si>
  <si>
    <t xml:space="preserve">รวม</t>
  </si>
  <si>
    <t xml:space="preserve">ลดได้ (ชั่วโมง/ปี)</t>
  </si>
  <si>
    <t xml:space="preserve">ลำดับการอ่าน: One-Page ของแต่ละ Kaizen (ชีท H-K1 · H-K2 · H-K3 · H-K4) → AI Image Prompts (คัดลอกไปสร้างภาพ Before/After แล้ววางในช่องภาพของ One-Page) → Principles Trace → Self-Check · Yokoten ยังไม่มีวันที่ = คะแนน 0 จนกว่าหน้างานกรอก</t>
  </si>
  <si>
    <r>
      <rPr>
        <b val="true"/>
        <sz val="14"/>
        <color rgb="FF000000"/>
        <rFont val="Tahoma"/>
        <family val="0"/>
        <charset val="1"/>
      </rPr>
      <t xml:space="preserve">แผ่นซับใต้จุดรั่ว </t>
    </r>
    <r>
      <rPr>
        <b val="true"/>
        <sz val="14"/>
        <color rgb="FF000000"/>
        <rFont val="WenQuanYi Zen Hei"/>
        <family val="2"/>
      </rPr>
      <t xml:space="preserve">『</t>
    </r>
    <r>
      <rPr>
        <b val="true"/>
        <sz val="14"/>
        <color rgb="FF000000"/>
        <rFont val="Tahoma"/>
        <family val="0"/>
        <charset val="1"/>
      </rPr>
      <t xml:space="preserve">ผ้าขาวฟ้องรั่ว</t>
    </r>
    <r>
      <rPr>
        <b val="true"/>
        <sz val="14"/>
        <color rgb="FF000000"/>
        <rFont val="WenQuanYi Zen Hei"/>
        <family val="2"/>
      </rPr>
      <t xml:space="preserve">』</t>
    </r>
  </si>
  <si>
    <t xml:space="preserve">AM Pillar · ระบบไฮดรอลิก</t>
  </si>
  <si>
    <t xml:space="preserve">ทีม: ทีม AM (ระบุ)   วันที่: DD-MMM-YY</t>
  </si>
  <si>
    <t xml:space="preserve">รายละเอียดผลงาน</t>
  </si>
  <si>
    <r>
      <rPr>
        <sz val="10"/>
        <color rgb="FF000000"/>
        <rFont val="Tahoma"/>
        <family val="0"/>
        <charset val="1"/>
      </rPr>
      <t xml:space="preserve">ทำให้รอยรั่วน้ำมันไฮดรอลิก </t>
    </r>
    <r>
      <rPr>
        <sz val="10"/>
        <color rgb="FF000000"/>
        <rFont val="WenQuanYi Zen Hei"/>
        <family val="2"/>
      </rPr>
      <t xml:space="preserve">『</t>
    </r>
    <r>
      <rPr>
        <sz val="10"/>
        <color rgb="FF000000"/>
        <rFont val="Tahoma"/>
        <family val="0"/>
        <charset val="1"/>
      </rPr>
      <t xml:space="preserve">เห็นทันที!</t>
    </r>
    <r>
      <rPr>
        <sz val="10"/>
        <color rgb="FF000000"/>
        <rFont val="WenQuanYi Zen Hei"/>
        <family val="2"/>
      </rPr>
      <t xml:space="preserve">』『</t>
    </r>
    <r>
      <rPr>
        <sz val="10"/>
        <color rgb="FF000000"/>
        <rFont val="Tahoma"/>
        <family val="0"/>
        <charset val="1"/>
      </rPr>
      <t xml:space="preserve">รู้ตำแหน่ง!</t>
    </r>
    <r>
      <rPr>
        <sz val="10"/>
        <color rgb="FF000000"/>
        <rFont val="WenQuanYi Zen Hei"/>
        <family val="2"/>
      </rPr>
      <t xml:space="preserve">』『</t>
    </r>
    <r>
      <rPr>
        <sz val="10"/>
        <color rgb="FF000000"/>
        <rFont val="Tahoma"/>
        <family val="0"/>
        <charset val="1"/>
      </rPr>
      <t xml:space="preserve">เช็ดน้อยลง!</t>
    </r>
    <r>
      <rPr>
        <sz val="10"/>
        <color rgb="FF000000"/>
        <rFont val="WenQuanYi Zen Hei"/>
        <family val="2"/>
      </rPr>
      <t xml:space="preserve">』 </t>
    </r>
    <r>
      <rPr>
        <sz val="10"/>
        <color rgb="FF000000"/>
        <rFont val="Tahoma"/>
        <family val="0"/>
        <charset val="1"/>
      </rPr>
      <t xml:space="preserve">· Confidence: Level 3 — หลักการ P2+P11 มีเคสจริง (KRK-BLUE-252) แต่ยังไม่ทดลองที่เครื่องนี้</t>
    </r>
  </si>
  <si>
    <t xml:space="preserve">ก่อนไคเซ็น</t>
  </si>
  <si>
    <t xml:space="preserve">ความคิด (ไอเดีย) เพื่อไคเซ็น</t>
  </si>
  <si>
    <t xml:space="preserve">«การไหลของงาน»</t>
  </si>
  <si>
    <t xml:space="preserve">◆ อยากเห็นหยดน้ำมันใหม่โดยไม่ต้องเช็ดทั้ง Unit</t>
  </si>
  <si>
    <t xml:space="preserve">① หยุดปั๊มหลังเลิกงาน</t>
  </si>
  <si>
    <t xml:space="preserve">◆ อยากรู้ทันทีว่ารั่วจากจุดไหน</t>
  </si>
  <si>
    <t xml:space="preserve">② เช็ดถัง ท่อ ข้อต่อ ทั้ง Unit ด้วยผ้า</t>
  </si>
  <si>
    <t xml:space="preserve">◆ อยากให้น้ำมันไม่ลงพื้น (ลื่น · ติดไฟได้ p.5)</t>
  </si>
  <si>
    <t xml:space="preserve">③ ไล่หาคราบ/หยดใหม่ทีละจุด แล้วดูพื้นรอบเครื่อง</t>
  </si>
  <si>
    <t xml:space="preserve">ปัญหาเชิงปริมาณ: เช็ด+หาจุดรั่ว ~3 นาที/วัน [INFERENCE: M] · รั่ว 1 หยด/10 วินาที = 0.42 L/วัน = 151 L/ปี/จุด [FACT PDF p.13]</t>
  </si>
  <si>
    <t xml:space="preserve">[วางภาพ Before — Prompt H-K1 B1 ในชีท 'AI Image Prompts']</t>
  </si>
  <si>
    <t xml:space="preserve">หลังไคเซ็น</t>
  </si>
  <si>
    <t xml:space="preserve">ถาดตื้น + แผ่นซับน้ำมันสีขาว ติดหมายเลขจุด ใต้จุดเสี่ยงรั่ว → หยดใหม่ทิ้งรอยเข้มบนพื้นขาว เห็นได้จากทางเดิน ไม่ใช้พลังงาน [PROPOSED]</t>
  </si>
  <si>
    <r>
      <rPr>
        <b val="true"/>
        <sz val="9"/>
        <color rgb="FFFFFFFF"/>
        <rFont val="Tahoma"/>
        <family val="0"/>
        <charset val="1"/>
      </rPr>
      <t xml:space="preserve">Point ① </t>
    </r>
    <r>
      <rPr>
        <b val="true"/>
        <sz val="9"/>
        <color rgb="FFFFFFFF"/>
        <rFont val="WenQuanYi Zen Hei"/>
        <family val="2"/>
      </rPr>
      <t xml:space="preserve">力 </t>
    </r>
    <r>
      <rPr>
        <b val="true"/>
        <sz val="9"/>
        <color rgb="FFFFFFFF"/>
        <rFont val="Tahoma"/>
        <family val="0"/>
        <charset val="1"/>
      </rPr>
      <t xml:space="preserve">กำลัง</t>
    </r>
  </si>
  <si>
    <t xml:space="preserve">แรงโน้มถ่วงพาหยดน้ำมันลงแผ่นซับเอง — ไม่ต้องมีแหล่งพลังงาน</t>
  </si>
  <si>
    <r>
      <rPr>
        <b val="true"/>
        <sz val="9"/>
        <color rgb="FFFFFFFF"/>
        <rFont val="Tahoma"/>
        <family val="0"/>
        <charset val="1"/>
      </rPr>
      <t xml:space="preserve">Point ② </t>
    </r>
    <r>
      <rPr>
        <b val="true"/>
        <sz val="9"/>
        <color rgb="FFFFFFFF"/>
        <rFont val="WenQuanYi Zen Hei"/>
        <family val="2"/>
      </rPr>
      <t xml:space="preserve">構造 </t>
    </r>
    <r>
      <rPr>
        <b val="true"/>
        <sz val="9"/>
        <color rgb="FFFFFFFF"/>
        <rFont val="Tahoma"/>
        <family val="0"/>
        <charset val="1"/>
      </rPr>
      <t xml:space="preserve">โครงสร้าง</t>
    </r>
  </si>
  <si>
    <t xml:space="preserve">A ถาดตื้นใต้ข้อต่อ · Relief valve · Solenoid valve · Dust seal กระบอกสูบ  B แผ่นซับสีขาว  C ป้ายหมายเลขจุด H-1…H-n ตรงกับแผนที่จุดรั่ว</t>
  </si>
  <si>
    <r>
      <rPr>
        <b val="true"/>
        <sz val="9"/>
        <color rgb="FFFFFFFF"/>
        <rFont val="Tahoma"/>
        <family val="0"/>
        <charset val="1"/>
      </rPr>
      <t xml:space="preserve">Point ③ </t>
    </r>
    <r>
      <rPr>
        <b val="true"/>
        <sz val="9"/>
        <color rgb="FFFFFFFF"/>
        <rFont val="WenQuanYi Zen Hei"/>
        <family val="2"/>
      </rPr>
      <t xml:space="preserve">原理 </t>
    </r>
    <r>
      <rPr>
        <b val="true"/>
        <sz val="9"/>
        <color rgb="FFFFFFFF"/>
        <rFont val="Tahoma"/>
        <family val="0"/>
        <charset val="1"/>
      </rPr>
      <t xml:space="preserve">หลักการ</t>
    </r>
  </si>
  <si>
    <t xml:space="preserve">ความต่างสีขาว/น้ำมันเข้ม = ตรวจที่ปลายทางของปรากฏการณ์ (P2) + สถานะเห็นได้ (P11) · ‘ขาวสะอาด’ คือ Standard ที่ทำให้เห็นปัญหา (ID-3)</t>
  </si>
  <si>
    <t xml:space="preserve">Point ④ Fail-safe</t>
  </si>
  <si>
    <t xml:space="preserve">แผ่นอิ่มตัว/ไม่ได้เปลี่ยน → คราบเต็มแผ่น เห็นได้ชัด = สัญญาณให้เปลี่ยนแผ่นและแจ้งช่าง · ถาดกันน้ำมันลงพื้นแม้แผ่นเต็ม</t>
  </si>
  <si>
    <r>
      <rPr>
        <b val="true"/>
        <sz val="9"/>
        <color rgb="FFFFFFFF"/>
        <rFont val="Tahoma"/>
        <family val="0"/>
        <charset val="1"/>
      </rPr>
      <t xml:space="preserve">Point ⑤ </t>
    </r>
    <r>
      <rPr>
        <b val="true"/>
        <sz val="9"/>
        <color rgb="FFFFFFFF"/>
        <rFont val="WenQuanYi Zen Hei"/>
        <family val="2"/>
      </rPr>
      <t xml:space="preserve">苦労点</t>
    </r>
  </si>
  <si>
    <t xml:space="preserve">(A) ต้องวางใต้แนวหยดจริง ไม่ใช่ใต้ชิ้นส่วน — น้ำมันไหลตามผิวท่อก่อนหยด  (B) เลือกแผ่นที่ดูดน้ำมันแต่ไม่ดูดน้ำ และถาดต้องไม่ขวางงานถอดซ่อม</t>
  </si>
  <si>
    <t xml:space="preserve">[วางภาพ After — Prompt H-K1 A1 / A2 ในชีท 'AI Image Prompts']</t>
  </si>
  <si>
    <t xml:space="preserve">ค่าวัสดุ</t>
  </si>
  <si>
    <t xml:space="preserve">~500–1,000 บาท/Unit [INFERENCE: M]</t>
  </si>
  <si>
    <t xml:space="preserve">ผลลัพธ์</t>
  </si>
  <si>
    <t xml:space="preserve">เช็ด/หาจุดรั่ว 3 → 1 นาที/วัน [PROPOSED] = (3−1) × 26 วัน × 12 เดือน = 624 นาที/ปี (10.4 ชม.) × ค่าแรง [DATA REQUIRED] + น้ำมันที่ไม่สูญเสีย 151 L/ปี/จุด × ราคา [DATA REQUIRED] · S: พื้นไม่ลื่น · C: น้ำมัน</t>
  </si>
  <si>
    <t xml:space="preserve">Yokoten</t>
  </si>
  <si>
    <t xml:space="preserve">Gearbox / ปั๊มหล่อลื่นในไลน์ (ระบุ Line จริง) — DD-MMM-YY | Hydraulic unit เครื่องอื่น (ระบุ Line จริง) — DD-MMM-YY</t>
  </si>
  <si>
    <t xml:space="preserve">คำอธิบาย: ช่องพื้นเหลือง = ช่องกรอก/แก้ได้ | ข้อมูลจาก AM Standard (ชีท Kaizen_IoT_CBM) + เอกสาร JIPM-Solutions Equipment Skills Training | Tag: [FACT] = ต้นฉบับ (ระบุหน้า) / [INFERENCE: H/M/L] = อนุมาน / [PROPOSED] = เป้าหมาย / [DATA REQUIRED] = ข้อมูลโรงงาน / [ASSUME] = ค่าตัวอย่าง</t>
  </si>
  <si>
    <r>
      <rPr>
        <b val="true"/>
        <sz val="14"/>
        <color rgb="FF000000"/>
        <rFont val="Tahoma"/>
        <family val="0"/>
        <charset val="1"/>
      </rPr>
      <t xml:space="preserve">Match mark ที่ Lock nut · โบลต์ </t>
    </r>
    <r>
      <rPr>
        <b val="true"/>
        <sz val="14"/>
        <color rgb="FF000000"/>
        <rFont val="WenQuanYi Zen Hei"/>
        <family val="2"/>
      </rPr>
      <t xml:space="preserve">『</t>
    </r>
    <r>
      <rPr>
        <b val="true"/>
        <sz val="14"/>
        <color rgb="FF000000"/>
        <rFont val="Tahoma"/>
        <family val="0"/>
        <charset val="1"/>
      </rPr>
      <t xml:space="preserve">เส้นตรง = แน่น</t>
    </r>
    <r>
      <rPr>
        <b val="true"/>
        <sz val="14"/>
        <color rgb="FF000000"/>
        <rFont val="WenQuanYi Zen Hei"/>
        <family val="2"/>
      </rPr>
      <t xml:space="preserve">』</t>
    </r>
  </si>
  <si>
    <r>
      <rPr>
        <sz val="10"/>
        <color rgb="FF000000"/>
        <rFont val="Tahoma"/>
        <family val="0"/>
        <charset val="1"/>
      </rPr>
      <t xml:space="preserve">ตรวจความหลวมของ Lock nut Relief valve · โบลต์ Solenoid valve · โบลต์กระบอกสูบ </t>
    </r>
    <r>
      <rPr>
        <sz val="10"/>
        <color rgb="FF000000"/>
        <rFont val="WenQuanYi Zen Hei"/>
        <family val="2"/>
      </rPr>
      <t xml:space="preserve">『</t>
    </r>
    <r>
      <rPr>
        <sz val="10"/>
        <color rgb="FF000000"/>
        <rFont val="Tahoma"/>
        <family val="0"/>
        <charset val="1"/>
      </rPr>
      <t xml:space="preserve">ด้วยตา!</t>
    </r>
    <r>
      <rPr>
        <sz val="10"/>
        <color rgb="FF000000"/>
        <rFont val="WenQuanYi Zen Hei"/>
        <family val="2"/>
      </rPr>
      <t xml:space="preserve">』『</t>
    </r>
    <r>
      <rPr>
        <sz val="10"/>
        <color rgb="FF000000"/>
        <rFont val="Tahoma"/>
        <family val="0"/>
        <charset val="1"/>
      </rPr>
      <t xml:space="preserve">ใน 0.5 นาที!</t>
    </r>
    <r>
      <rPr>
        <sz val="10"/>
        <color rgb="FF000000"/>
        <rFont val="WenQuanYi Zen Hei"/>
        <family val="2"/>
      </rPr>
      <t xml:space="preserve">』『</t>
    </r>
    <r>
      <rPr>
        <sz val="10"/>
        <color rgb="FF000000"/>
        <rFont val="Tahoma"/>
        <family val="0"/>
        <charset val="1"/>
      </rPr>
      <t xml:space="preserve">ไม่ต้องใช้ประแจ!</t>
    </r>
    <r>
      <rPr>
        <sz val="10"/>
        <color rgb="FF000000"/>
        <rFont val="WenQuanYi Zen Hei"/>
        <family val="2"/>
      </rPr>
      <t xml:space="preserve">』 </t>
    </r>
    <r>
      <rPr>
        <sz val="10"/>
        <color rgb="FF000000"/>
        <rFont val="Tahoma"/>
        <family val="0"/>
        <charset val="1"/>
      </rPr>
      <t xml:space="preserve">· Confidence: Level 4</t>
    </r>
  </si>
  <si>
    <t xml:space="preserve">◆ อยากรู้ว่าน็อตคลายหรือไม่โดยไม่ต้องแตะ</t>
  </si>
  <si>
    <t xml:space="preserve">① เดินไปทีละจุด: Relief valve · Solenoid valve · กระบอกสูบ</t>
  </si>
  <si>
    <t xml:space="preserve">◆ อยากเห็นได้จากจุดยืนตรวจ</t>
  </si>
  <si>
    <t xml:space="preserve">② ลองขันด้วยมือ/ประแจทีละตัว</t>
  </si>
  <si>
    <t xml:space="preserve">◆ อยากให้ทุกคนตัดสินได้เหมือนกัน ไม่พึ่งความรู้สึกมือ</t>
  </si>
  <si>
    <t xml:space="preserve">③ ไม่รู้ว่าตัวไหนเคยคลายหรือขันซ้ำแล้ว</t>
  </si>
  <si>
    <t xml:space="preserve">ปัญหาเชิงปริมาณ: ลองขันทีละตัว ~3 นาที/ครั้ง [INFERENCE: M] · Lock nut Relief หลวม → ค่าตั้งแรงดันเปลี่ยน = ความผิดปกติที่พบมากที่สุด [FACT PDF p.17]</t>
  </si>
  <si>
    <t xml:space="preserve">[วางภาพ Before — Prompt H-K2 B1 ในชีท 'AI Image Prompts']</t>
  </si>
  <si>
    <r>
      <rPr>
        <b val="true"/>
        <sz val="11"/>
        <color rgb="FF000000"/>
        <rFont val="Tahoma"/>
        <family val="0"/>
        <charset val="1"/>
      </rPr>
      <t xml:space="preserve">ขันตาม Torque แล้วลากเส้น Paint marker พาดน็อต → แหวน → ตัวเรือน (</t>
    </r>
    <r>
      <rPr>
        <b val="true"/>
        <sz val="11"/>
        <color rgb="FF000000"/>
        <rFont val="WenQuanYi Zen Hei"/>
        <family val="2"/>
      </rPr>
      <t xml:space="preserve">合いマーク </t>
    </r>
    <r>
      <rPr>
        <b val="true"/>
        <sz val="11"/>
        <color rgb="FF000000"/>
        <rFont val="Tahoma"/>
        <family val="0"/>
        <charset val="1"/>
      </rPr>
      <t xml:space="preserve">= Match mark) · น็อตหมุนเมื่อใด เส้นเยื้องทันที [PROPOSED]</t>
    </r>
  </si>
  <si>
    <t xml:space="preserve">ไม่มีแหล่งพลังงาน — การหมุนของน็อตเองคือตัวแสดงผล (หมุน = เส้นเยื้อง)</t>
  </si>
  <si>
    <t xml:space="preserve">A Lock nut Relief valve  B โบลต์ฐาน Solenoid valve  C โบลต์/น็อตกระบอกสูบ · เส้นสีเดียวพาดต่อเนื่อง 3 ชิ้น · สีตามผู้ขัน (AM เหลือง / PM แดง *)</t>
  </si>
  <si>
    <t xml:space="preserve">ตรวจที่ปรากฏการณ์ (การหมุน) โดยตรง P2 + Visual P11 — ‘อย่าวัด จงกำหนด’ (PT-3)</t>
  </si>
  <si>
    <t xml:space="preserve">เส้นเลือน/ทาสีทับ = ถือว่าไม่ผ่านตรวจ → ขันตาม Torque แล้วลากใหม่ · ห้ามลากเส้นใหม่โดยไม่ขัน</t>
  </si>
  <si>
    <t xml:space="preserve">(A) Lock nut Relief ต้องคลายเมื่อปรับตั้ง → ลากเส้นใหม่ทุกครั้งโดยผู้ได้รับมอบหมาย  (B) เลือก Paint marker ทนน้ำมันไฮดรอลิกและความร้อน ไม่ร่อนเมื่อเช็ด</t>
  </si>
  <si>
    <t xml:space="preserve">[วางภาพ After — Prompt H-K2 A1 / A2 ในชีท 'AI Image Prompts']</t>
  </si>
  <si>
    <t xml:space="preserve">~100–300 บาท (Paint marker ทนน้ำมัน) [INFERENCE: M]</t>
  </si>
  <si>
    <t xml:space="preserve">3 → 0.5 นาที/ครั้ง [PROPOSED] = (3−0.5) × 52 สัปดาห์ = 130 นาที/ปี × ค่าแรง [DATA REQUIRED] · Lock nut Relief ตรวจได้ใน 5 วินาทีทุกวัน → ป้องกันค่าตั้งแรงดันเปลี่ยน (p.17) · Q: แรงดันคงที่</t>
  </si>
  <si>
    <t xml:space="preserve">Regulator Lock nut ระบบลม (P-K3) (ระบุ Line จริง) — DD-MMM-YY | Cushion valve Lock nut กระบอกสูบ (p.11) (ระบุ Line จริง) — DD-MMM-YY</t>
  </si>
  <si>
    <r>
      <rPr>
        <b val="true"/>
        <sz val="14"/>
        <color rgb="FF000000"/>
        <rFont val="Tahoma"/>
        <family val="0"/>
        <charset val="1"/>
      </rPr>
      <t xml:space="preserve">IoT CBM สั่น + อุณหภูมิ ปั๊ม-มอเตอร์ </t>
    </r>
    <r>
      <rPr>
        <b val="true"/>
        <sz val="14"/>
        <color rgb="FF000000"/>
        <rFont val="WenQuanYi Zen Hei"/>
        <family val="2"/>
      </rPr>
      <t xml:space="preserve">『</t>
    </r>
    <r>
      <rPr>
        <b val="true"/>
        <sz val="14"/>
        <color rgb="FF000000"/>
        <rFont val="Tahoma"/>
        <family val="0"/>
        <charset val="1"/>
      </rPr>
      <t xml:space="preserve">ปั๊มฟ้องเอง</t>
    </r>
    <r>
      <rPr>
        <b val="true"/>
        <sz val="14"/>
        <color rgb="FF000000"/>
        <rFont val="WenQuanYi Zen Hei"/>
        <family val="2"/>
      </rPr>
      <t xml:space="preserve">』</t>
    </r>
  </si>
  <si>
    <r>
      <rPr>
        <sz val="10"/>
        <color rgb="FF000000"/>
        <rFont val="Tahoma"/>
        <family val="0"/>
        <charset val="1"/>
      </rPr>
      <t xml:space="preserve">เฝ้าดูปั๊มไฮดรอลิก </t>
    </r>
    <r>
      <rPr>
        <sz val="10"/>
        <color rgb="FF000000"/>
        <rFont val="WenQuanYi Zen Hei"/>
        <family val="2"/>
      </rPr>
      <t xml:space="preserve">『</t>
    </r>
    <r>
      <rPr>
        <sz val="10"/>
        <color rgb="FF000000"/>
        <rFont val="Tahoma"/>
        <family val="0"/>
        <charset val="1"/>
      </rPr>
      <t xml:space="preserve">24 ชม.!</t>
    </r>
    <r>
      <rPr>
        <sz val="10"/>
        <color rgb="FF000000"/>
        <rFont val="WenQuanYi Zen Hei"/>
        <family val="2"/>
      </rPr>
      <t xml:space="preserve">』『</t>
    </r>
    <r>
      <rPr>
        <sz val="10"/>
        <color rgb="FF000000"/>
        <rFont val="Tahoma"/>
        <family val="0"/>
        <charset val="1"/>
      </rPr>
      <t xml:space="preserve">ไม่ต้องเข้าใกล้ส่วนหมุน!</t>
    </r>
    <r>
      <rPr>
        <sz val="10"/>
        <color rgb="FF000000"/>
        <rFont val="WenQuanYi Zen Hei"/>
        <family val="2"/>
      </rPr>
      <t xml:space="preserve">』『</t>
    </r>
    <r>
      <rPr>
        <sz val="10"/>
        <color rgb="FF000000"/>
        <rFont val="Tahoma"/>
        <family val="0"/>
        <charset val="1"/>
      </rPr>
      <t xml:space="preserve">เตือนก่อนเสีย!</t>
    </r>
    <r>
      <rPr>
        <sz val="10"/>
        <color rgb="FF000000"/>
        <rFont val="WenQuanYi Zen Hei"/>
        <family val="2"/>
      </rPr>
      <t xml:space="preserve">』 </t>
    </r>
    <r>
      <rPr>
        <sz val="10"/>
        <color rgb="FF000000"/>
        <rFont val="Tahoma"/>
        <family val="0"/>
        <charset val="1"/>
      </rPr>
      <t xml:space="preserve">· ไฟฟ้าใช้เป็นสัญญาณเท่านั้น (P10) · Confidence: Level 3</t>
    </r>
  </si>
  <si>
    <t xml:space="preserve">◆ อยากรู้สภาพปั๊มโดยไม่ต้องเข้าใกล้ (TNL: ไม่ต้องเข้าใกล้)</t>
  </si>
  <si>
    <t xml:space="preserve">① ฟังเสียงปั๊ม 20 วินาทีแรกตอนเริ่มเดิน</t>
  </si>
  <si>
    <t xml:space="preserve">◆ อยากเห็นแนวโน้มก่อนเสีย</t>
  </si>
  <si>
    <t xml:space="preserve">② เอาหลังมือแตะ Casing ปั๊ม/มอเตอร์ ใกล้ Coupling</t>
  </si>
  <si>
    <t xml:space="preserve">◆ อยากให้ทุกคนตัดสินได้เหมือนกัน (TNL: ไม่ต้องวินิจฉัย)</t>
  </si>
  <si>
    <t xml:space="preserve">③ ตัดสินจากประสบการณ์ — Operator ใหม่แยกเสียงยาก</t>
  </si>
  <si>
    <r>
      <rPr>
        <b val="true"/>
        <sz val="10"/>
        <color rgb="FFC0504D"/>
        <rFont val="Tahoma"/>
        <family val="0"/>
        <charset val="1"/>
      </rPr>
      <t xml:space="preserve">ปัญหาเชิงปริมาณ: ~2 นาที/กะ [INFERENCE: M] · พื้นที่เสียงดัง · ใกล้ส่วนหมุน (</t>
    </r>
    <r>
      <rPr>
        <b val="true"/>
        <sz val="10"/>
        <color rgb="FFC0504D"/>
        <rFont val="WenQuanYi Zen Hei"/>
        <family val="2"/>
      </rPr>
      <t xml:space="preserve">危ない </t>
    </r>
    <r>
      <rPr>
        <b val="true"/>
        <sz val="10"/>
        <color rgb="FFC0504D"/>
        <rFont val="Tahoma"/>
        <family val="0"/>
        <charset val="1"/>
      </rPr>
      <t xml:space="preserve">Abunai = อันตราย) · Cavitation/Aeration → ปั๊มเสีย (BD) [FACT PDF p.14]</t>
    </r>
  </si>
  <si>
    <t xml:space="preserve">[วางภาพ Before — Prompt H-K3 B1 ในชีท 'AI Image Prompts']</t>
  </si>
  <si>
    <t xml:space="preserve">What: Vibration sensor (MEMS) + Temperature probe (DS18B20) → ESP32 → ไฟเตือน 3 สีหน้าเครื่อง + บันทึก Trend · Where: Casing ปั๊ม และ Bearing housing มอเตอร์ · How: เทียบ Baseline ของเครื่องเอง [PROPOSED]</t>
  </si>
  <si>
    <t xml:space="preserve">ไม่มีแรงขับ — ไฟฟ้าใช้ส่งสัญญาณเท่านั้น (P10) · ไม่แตะการทำงานของปั๊ม</t>
  </si>
  <si>
    <t xml:space="preserve">A Sensor สั่นที่ Casing ปั๊ม  B Temp probe ที่ Casing  C Sensor ที่ Bearing housing มอเตอร์ (ไม่ติดบน Coupling)  D ESP32 ในกล่องกันน้ำมัน  E ไฟเตือน 3 สี</t>
  </si>
  <si>
    <t xml:space="preserve">ตรวจที่ปรากฏการณ์ (สั่น/ร้อน) ณ จุดเกิด P2 · เกณฑ์เตือน = Baseline ช่วงปกติ 2 สัปดาห์ของเครื่องเอง ไม่ใช่ค่าตายตัว [PROPOSED]</t>
  </si>
  <si>
    <t xml:space="preserve">ESP32/สายขาด → ไฟสถานะดับ = ‘ไม่รู้สถานะ’ → กลับไปฟัง/แตะตาม AM Standard · ไม่ลบข้อตรวจเดิมจนระบบนิ่ง 3 เดือน *</t>
  </si>
  <si>
    <t xml:space="preserve">(A) แยกการสั่นของปั๊มจากเครื่องข้างเคียงและพื้น  (B) ยึด Sensor แน่นบนผิวเรียบ (ยึดหลวม = อ่านผิด) และตั้งเกณฑ์จาก Baseline จริง</t>
  </si>
  <si>
    <t xml:space="preserve">[วางภาพ After — Prompt H-K3 A1 / A2 ในชีท 'AI Image Prompts']</t>
  </si>
  <si>
    <t xml:space="preserve">~1,000–2,000 บาท/ชุด [INFERENCE: M] ไม่รวมค่าแรงติดตั้ง</t>
  </si>
  <si>
    <t xml:space="preserve">ฟัง+แตะ 2 → 0 นาที/กะ [PROPOSED] = 2 × 26 วัน × 12 เดือน × จำนวนกะ ([ASSUME] 1 กะ = 624 นาที/ปี) × ค่าแรง [DATA REQUIRED] · เตือนก่อน BD ปั๊ม (Cavitation/Aeration p.14) · S: ไม่ต้องเข้าใกล้ Coupling</t>
  </si>
  <si>
    <t xml:space="preserve">มอเตอร์ปั๊มน้ำหล่อเย็น (ระบุ Line จริง) — DD-MMM-YY | Compressor ระบบลม (ระบุ Line จริง) — DD-MMM-YY</t>
  </si>
  <si>
    <r>
      <rPr>
        <b val="true"/>
        <sz val="14"/>
        <color rgb="FF000000"/>
        <rFont val="Tahoma"/>
        <family val="0"/>
        <charset val="1"/>
      </rPr>
      <t xml:space="preserve">Air breather แบบ Oil bath </t>
    </r>
    <r>
      <rPr>
        <b val="true"/>
        <sz val="14"/>
        <color rgb="FF000000"/>
        <rFont val="WenQuanYi Zen Hei"/>
        <family val="2"/>
      </rPr>
      <t xml:space="preserve">『</t>
    </r>
    <r>
      <rPr>
        <b val="true"/>
        <sz val="14"/>
        <color rgb="FF000000"/>
        <rFont val="Tahoma"/>
        <family val="0"/>
        <charset val="1"/>
      </rPr>
      <t xml:space="preserve">ฝุ่นติดน้ำมัน ไม่เข้าถัง</t>
    </r>
    <r>
      <rPr>
        <b val="true"/>
        <sz val="14"/>
        <color rgb="FF000000"/>
        <rFont val="WenQuanYi Zen Hei"/>
        <family val="2"/>
      </rPr>
      <t xml:space="preserve">』</t>
    </r>
  </si>
  <si>
    <r>
      <rPr>
        <sz val="10"/>
        <color rgb="FF000000"/>
        <rFont val="Tahoma"/>
        <family val="0"/>
        <charset val="1"/>
      </rPr>
      <t xml:space="preserve">ลดฝุ่นเข้าถังน้ำมันไฮดรอลิก </t>
    </r>
    <r>
      <rPr>
        <sz val="10"/>
        <color rgb="FF000000"/>
        <rFont val="WenQuanYi Zen Hei"/>
        <family val="2"/>
      </rPr>
      <t xml:space="preserve">『</t>
    </r>
    <r>
      <rPr>
        <sz val="10"/>
        <color rgb="FF000000"/>
        <rFont val="Tahoma"/>
        <family val="0"/>
        <charset val="1"/>
      </rPr>
      <t xml:space="preserve">ล้างห่างขึ้น!</t>
    </r>
    <r>
      <rPr>
        <sz val="10"/>
        <color rgb="FF000000"/>
        <rFont val="WenQuanYi Zen Hei"/>
        <family val="2"/>
      </rPr>
      <t xml:space="preserve">』『</t>
    </r>
    <r>
      <rPr>
        <sz val="10"/>
        <color rgb="FF000000"/>
        <rFont val="Tahoma"/>
        <family val="0"/>
        <charset val="1"/>
      </rPr>
      <t xml:space="preserve">น้ำมันสะอาดนานขึ้น!</t>
    </r>
    <r>
      <rPr>
        <sz val="10"/>
        <color rgb="FF000000"/>
        <rFont val="WenQuanYi Zen Hei"/>
        <family val="2"/>
      </rPr>
      <t xml:space="preserve">』 </t>
    </r>
    <r>
      <rPr>
        <sz val="10"/>
        <color rgb="FF000000"/>
        <rFont val="Tahoma"/>
        <family val="0"/>
        <charset val="1"/>
      </rPr>
      <t xml:space="preserve">· Confidence: Level 4 — ต้นฉบับ p.22 ระบุว่ามีประสิทธิภาพสูงในพื้นที่ฝุ่นมาก</t>
    </r>
  </si>
  <si>
    <t xml:space="preserve">◆ อยากให้ฝุ่นไม่เข้าถังตั้งแต่แรก</t>
  </si>
  <si>
    <t xml:space="preserve">① ดูฝุ่นที่ไส้กรอง Air breather</t>
  </si>
  <si>
    <t xml:space="preserve">◆ อยากล้างห่างขึ้น</t>
  </si>
  <si>
    <t xml:space="preserve">② สกปรก → ถอดล้างน้ำมันก๊าด หรือเปลี่ยน</t>
  </si>
  <si>
    <t xml:space="preserve">◆ อยากเห็นว่าเมื่อไรต้องเปลี่ยนน้ำมันในถ้วย</t>
  </si>
  <si>
    <t xml:space="preserve">③ พื้นที่ฝุ่นมาก ไส้กรองตันเร็ว ต้องล้างบ่อย</t>
  </si>
  <si>
    <t xml:space="preserve">ปัญหาเชิงปริมาณ: ล้าง ~5 นาที/ครั้ง สัปดาห์ละครั้ง [INFERENCE: M] · Breather ตัน → ปั๊มเสียงดัง [FACT PDF p.14] · ฝุ่นในน้ำมัน → Poppet/Spool สกปรกติด [FACT p.15–16]</t>
  </si>
  <si>
    <t xml:space="preserve">[วางภาพ Before — Prompt H-K4 B1 ในชีท 'AI Image Prompts']</t>
  </si>
  <si>
    <t xml:space="preserve">อากาศที่ถังหายใจเข้าต้องเลี้ยวผ่านผิวน้ำมันในถ้วยก่อนผ่านไส้กรอง → ฝุ่นติดน้ำมันและตกลงก้นถ้วย [FACT p.22: แบบ Oil bath]</t>
  </si>
  <si>
    <t xml:space="preserve">ใช้การหายใจของถังเอง (อากาศเข้าเมื่อระดับน้ำมันลด) — ไม่มีแหล่งพลังงานใหม่</t>
  </si>
  <si>
    <t xml:space="preserve">A ถ้วยน้ำมัน (Oil bath)  B ไส้กรอง  C ฝาครอบ  D ทางอากาศเลี้ยวผ่านผิวน้ำมัน (ตามรูป a p.22)  E ขีดระดับน้ำมันในถ้วย</t>
  </si>
  <si>
    <t xml:space="preserve">อากาศเปลี่ยนทิศเร็ว ฝุ่นซึ่งหนักกว่าเลี้ยวไม่ทัน ชนผิวน้ำมันแล้วติด [INFERENCE: H] · กำจัดที่แหล่งสกปรก (SOC)</t>
  </si>
  <si>
    <t xml:space="preserve">น้ำมันในถ้วยหมด → ยังกรองด้วยไส้กรองได้เหมือนแบบเดิม (ไม่แย่กว่าเดิม) · ขีดระดับทำให้เห็นก่อนหมด</t>
  </si>
  <si>
    <t xml:space="preserve">(A) ขนาดต้องให้ถังหายใจทันที่โหลดสูงสุด (p.22)  (B) ชนิด/ระดับน้ำมันในถ้วย และรอบเปลี่ยนตามฝุ่นจริงของพื้นที่</t>
  </si>
  <si>
    <t xml:space="preserve">[วางภาพ After — Prompt H-K4 A1 / A2 ในชีท 'AI Image Prompts']</t>
  </si>
  <si>
    <t xml:space="preserve">[DATA REQUIRED] ตามรุ่น/ขนาดถัง — ขอราคาผู้ผลิต</t>
  </si>
  <si>
    <t xml:space="preserve">ล้างไส้กรอง 5 → 2 นาที/สัปดาห์ [PROPOSED] = (5−2) × 52 = 156 นาที/ปี × ค่าแรง [DATA REQUIRED] · Q: ฝุ่นในน้ำมันลด → วาล์วติดน้อยลง (p.15–16) · วัดผล: รอบล้างก่อน/หลัง</t>
  </si>
  <si>
    <t xml:space="preserve">Breather ของ Gearbox ในพื้นที่ฝุ่น (ระบุ Line จริง) — DD-MMM-YY | ถังน้ำมันหล่อลื่นอื่น (ระบุ Line จริง) — DD-MMM-YY</t>
  </si>
  <si>
    <t xml:space="preserve">ภาพ</t>
  </si>
  <si>
    <t xml:space="preserve">Style</t>
  </si>
  <si>
    <t xml:space="preserve">Viewpoint</t>
  </si>
  <si>
    <t xml:space="preserve">Aspect</t>
  </si>
  <si>
    <t xml:space="preserve">หลักการที่ฝังในภาพ</t>
  </si>
  <si>
    <t xml:space="preserve">Prompt (GPT Image 2.0 — คัดลอกไปใช้ได้ทันที)</t>
  </si>
  <si>
    <t xml:space="preserve">B1 Before</t>
  </si>
  <si>
    <t xml:space="preserve">A Kaizen Cartoon</t>
  </si>
  <si>
    <t xml:space="preserve">2D side view</t>
  </si>
  <si>
    <t xml:space="preserve">3:2</t>
  </si>
  <si>
    <t xml:space="preserve">manual whole-unit wiping hides new leaks</t>
  </si>
  <si>
    <t xml:space="preserve">Clean Japanese kaizen training manual illustration, simple line art, round-headed worker character, flat 2D side view. A worker crouching beside a hydraulic power unit (oil tank, pump, valve block, pipes), wiping every pipe with a rag and searching for fresh oil drops with a flashlight, worried face with sweat drops. Old dark oil stains on the floor and on the gray machine body make new drops invisible. Caption box: '3 min/day wiping + searching; 1 drop every 10 s = 151 L/year'. Red X on the stained floor. Limited palette: 70% white-gray, 25% steel blue-gray, 5% red accent only on the stained floor. White background, no photorealism, no text other than the labels specified.</t>
  </si>
  <si>
    <t xml:space="preserve">A1 After Overview</t>
  </si>
  <si>
    <t xml:space="preserve">B Technical Textbook</t>
  </si>
  <si>
    <t xml:space="preserve">Isometric</t>
  </si>
  <si>
    <t xml:space="preserve">gravity carries each drop onto a white pad; contrast shows the leak point (direct phenomenon detection)</t>
  </si>
  <si>
    <t xml:space="preserve">Japanese engineering textbook diagram, clear black outlines, flat gray fills, isometric three-quarter view. A hydraulic power unit with shallow drip trays and white oil-absorbent pads placed directly under the leak-risk points. Thin vertical dashed arrows show oil drops falling by gravity from a pipe fitting onto the white pad, leaving one dark spot. Component labels with leader lines: A = drip tray, B = white absorbent pad, C = point number tag H-1 to H-4, D = relief valve, E = solenoid valve, F = cylinder dust seal. Limited palette: 70% white-gray, 25% steel blue-gray, 5% orange accent only on the dark oil spot on pad H-2. White background, no photorealism, no text other than the labels specified.</t>
  </si>
  <si>
    <t xml:space="preserve">A2 Point Close-up</t>
  </si>
  <si>
    <t xml:space="preserve">Cross-section</t>
  </si>
  <si>
    <t xml:space="preserve">1:1</t>
  </si>
  <si>
    <t xml:space="preserve">drop follows the pipe surface then falls by gravity; pad placed under the true drip line</t>
  </si>
  <si>
    <t xml:space="preserve">Cutaway cross-section technical diagram, square format. Close-up of a hydraulic pipe fitting with an O-ring above a white absorbent pad in a shallow tray. A thin oil film runs along the underside of the pipe and drips from its lowest point, not from the fitting itself; a dashed vertical line marks the true drip line and the pad is centered on it. Labels: A = fitting, B = O-ring, C = drip point, D = white pad, E = tray lip. Hatching on cut surfaces. Limited palette: 70% white-gray, 25% steel blue-gray, 5% orange accent only on the oil spot on the pad. White background, no photorealism, no text other than the labels specified.</t>
  </si>
  <si>
    <t xml:space="preserve">checking tightness by hand feel, bolt by bolt</t>
  </si>
  <si>
    <t xml:space="preserve">Clean Japanese kaizen training manual illustration, simple line art, round-headed worker character, flat 2D side view. A worker walking between a relief valve, a solenoid valve block and a hydraulic cylinder, trying each nut and bolt with a wrench, unsure face with sweat drops and a question mark. Dashed line shows the walking path between the three points. Caption box: '3 min per check, by hand feel'. Red X on the wrench. Limited palette: 70% white-gray, 25% steel blue-gray, 5% red accent only on the wrench. White background, no photorealism, no text other than the labels specified.</t>
  </si>
  <si>
    <t xml:space="preserve">match mark: one straight paint line across nut, washer and body; any rotation breaks the line</t>
  </si>
  <si>
    <t xml:space="preserve">Japanese engineering textbook diagram, clear black outlines, flat gray fills, isometric three-quarter view. A relief valve with handle and lock nut, a solenoid valve on its manifold, and cylinder mounting bolts, each marked with one straight yellow paint line running across nut, washer and body. All lines are continuous except one lock nut whose line segment is offset, highlighted. Component labels with leader lines: A = relief valve lock nut, B = solenoid valve bolts, C = cylinder bolts, D = paint line. An eye symbol shows inspection from standing position. Limited palette: 70% white-gray, 25% steel blue-gray, 5% orange accent only on the offset line segment. White background, no photorealism, no text other than the labels specified.</t>
  </si>
  <si>
    <t xml:space="preserve">Top view</t>
  </si>
  <si>
    <t xml:space="preserve">nut rotation of a few degrees shifts the line segment on the nut away from the line on the body</t>
  </si>
  <si>
    <t xml:space="preserve">Technical diagram, square format, top view of a hexagon nut on a washer and body. Left half: straight paint line continuous across nut, washer and body, labeled 'OK'. Right half: the nut rotated about 15 degrees counter-clockwise (loosening direction), small curved arrow showing the rotation, the line segment on the nut now offset from the body line, labeled 'NG'. Labels: A = nut, B = washer, C = body, D = paint line. Flat grays. Limited palette: 70% white-gray, 25% steel blue-gray, 5% orange accent only on the offset segment on the NG nut. White background, no photorealism, no text other than the labels specified.</t>
  </si>
  <si>
    <t xml:space="preserve">inspection by ear and hand next to a rotating coupling</t>
  </si>
  <si>
    <t xml:space="preserve">Clean Japanese kaizen training manual illustration, simple line art, round-headed worker character, flat 2D side view. A new operator leaning close to a hydraulic pump and electric motor joined by a coupling, one hand cupped to the ear, the back of the other hand touching the pump casing, confused face with sweat drops, noise lines from nearby machines. Caption box: '2 min per shift; noisy area; close to rotating coupling'. Red X near the coupling. Limited palette: 70% white-gray, 25% steel blue-gray, 5% red accent only on the coupling area. White background, no photorealism, no text other than the labels specified.</t>
  </si>
  <si>
    <t xml:space="preserve">sensors read vibration and temperature where they occur; electricity carries the signal only</t>
  </si>
  <si>
    <t xml:space="preserve">Japanese engineering textbook diagram, clear black outlines, flat gray fills, isometric three-quarter view. A hydraulic pump and motor on a base. A small vibration sensor and a temperature probe bolted on a flat area of the pump casing, another sensor on the motor bearing housing; thin cables run to a small sealed controller box, which drives a three-color signal tower at the operator aisle. No sensor on the coupling. Component labels with leader lines: A = pump vibration sensor, B = temperature probe, C = motor bearing sensor, D = controller box, E = signal tower. Thin dashed arrows show signal direction only. Limited palette: 70% white-gray, 25% steel blue-gray, 5% orange accent only on the signal tower. White background, no photorealism, no text other than the labels specified.</t>
  </si>
  <si>
    <t xml:space="preserve">rigid mounting on a flat machined pad transmits casing vibration to the sensor</t>
  </si>
  <si>
    <t xml:space="preserve">Cutaway cross-section technical diagram, square format. A vibration sensor screwed onto a flat machined pad on a pump casing wall, with a thin layer showing full metal contact; a second inset shows a loosely mounted sensor with a gap and wobble lines, marked with a red X. Labels: A = sensor, B = mounting stud, C = flat pad, D = casing wall. Small wave symbols show vibration passing from casing into sensor. Limited palette: 70% white-gray, 25% steel blue-gray, 5% orange accent only on the contact surface. White background, no photorealism, no text other than the labels specified.</t>
  </si>
  <si>
    <t xml:space="preserve">dry filter breather clogs quickly in a dusty area</t>
  </si>
  <si>
    <t xml:space="preserve">Clean Japanese kaizen training manual illustration, simple line art, round-headed worker character, flat 2D side view. A hydraulic oil tank in a dusty workshop with floating dust particles, a small dry filter-type air breather on the tank top clogged gray. A worker washing the filter element in a tray of kerosene with a nylon brush, tired face with sweat drops. Caption box: 'clogs fast; 5 min cleaning every week'. Red X on the clogged breather. Limited palette: 70% white-gray, 25% steel blue-gray, 5% red accent only on the clogged breather. White background, no photorealism, no text other than the labels specified.</t>
  </si>
  <si>
    <t xml:space="preserve">the tank breathes in through an oil-bath breather that captures dust before the filter</t>
  </si>
  <si>
    <t xml:space="preserve">Japanese engineering textbook diagram, clear black outlines, flat gray fills, isometric three-quarter view. A hydraulic oil tank with an oil-bath air breather on the vent hole. Bold arrows show outside air entering under the cap, turning down over the oil surface in the cup, then up through the filter into the tank as the oil level falls. Dust dots drop into the oil. Component labels with leader lines: A = oil cup, B = filter, C = cap, D = air path, E = oil level mark. Limited palette: 70% white-gray, 25% steel blue-gray, 5% orange accent only on the oil surface where dust is captured. White background, no photorealism, no text other than the labels specified.</t>
  </si>
  <si>
    <t xml:space="preserve">sharp turn of the air stream makes heavier dust hit the oil surface (inertia)</t>
  </si>
  <si>
    <t xml:space="preserve">Cutaway cross-section technical diagram, square format. Oil-bath breather cut in half: air enters at the rim, flows down an annular passage, makes a sharp U-turn just above the oil surface, then rises through a filter element. Small dust particles follow straight lines into the oil while the air turns. Labels: A = cap, B = annular passage, C = oil surface, D = filter element, E = settled dust. Hatching on cut walls, curved arrows for air path. Limited palette: 70% white-gray, 25% steel blue-gray, 5% orange accent only on the U-turn above the oil. White background, no photorealism, no text other than the labels specified.</t>
  </si>
  <si>
    <t xml:space="preserve">หมวด</t>
  </si>
  <si>
    <t xml:space="preserve">รหัส</t>
  </si>
  <si>
    <t xml:space="preserve">หลักการ</t>
  </si>
  <si>
    <t xml:space="preserve">การใช้ใน Case นี้</t>
  </si>
  <si>
    <t xml:space="preserve">อ้างอิง (เล่ม/หน้า)</t>
  </si>
  <si>
    <t xml:space="preserve">Source Tag</t>
  </si>
  <si>
    <t xml:space="preserve">Idea-Design</t>
  </si>
  <si>
    <t xml:space="preserve">ID-3</t>
  </si>
  <si>
    <t xml:space="preserve">ต้องมี Standard จึงเห็นปัญหา</t>
  </si>
  <si>
    <t xml:space="preserve">แผ่นขาว = สภาพปกติที่มองเห็นได้ หยดใหม่จึงโดดออกมา</t>
  </si>
  <si>
    <t xml:space="preserve">KT2 p.14</t>
  </si>
  <si>
    <t xml:space="preserve">[FACT]</t>
  </si>
  <si>
    <t xml:space="preserve">ID-11</t>
  </si>
  <si>
    <t xml:space="preserve">ECR: Eliminate ก่อน</t>
  </si>
  <si>
    <t xml:space="preserve">Eliminate รั่วที่ต้นเหตุ (O-ring/ข้อต่อ) โดย PM ทำคู่กัน · ระหว่างนั้นการตรวจยังจำเป็น → Reduce เวลาหา → Change วิธีเห็น</t>
  </si>
  <si>
    <t xml:space="preserve">KT2 pp.91-100</t>
  </si>
  <si>
    <t xml:space="preserve">[INFERENCE: H]</t>
  </si>
  <si>
    <t xml:space="preserve">9 Principles</t>
  </si>
  <si>
    <t xml:space="preserve">① 真因</t>
  </si>
  <si>
    <t xml:space="preserve">Why × 3</t>
  </si>
  <si>
    <t xml:space="preserve">ทำไมช้า? ต้องเช็ดทั้ง Unit ก่อน → ทำไม? คราบเก่ากลืนหยดใหม่ → ทำไม? ไม่มีพื้นอ้างอิงที่ทำให้หยดใหม่ต่างจากปกติ</t>
  </si>
  <si>
    <t xml:space="preserve">idea-kaizen V1.6</t>
  </si>
  <si>
    <t xml:space="preserve">[INFERENCE: M]</t>
  </si>
  <si>
    <t xml:space="preserve">Karakuri P1-P24</t>
  </si>
  <si>
    <t xml:space="preserve">P2 + P11</t>
  </si>
  <si>
    <t xml:space="preserve">ตรวจที่ปรากฏการณ์ + สถานะเห็นได้</t>
  </si>
  <si>
    <t xml:space="preserve">หยดน้ำมันทิ้งรอยบนแผ่นขาวตรงจุดที่เกิด</t>
  </si>
  <si>
    <t xml:space="preserve">karakuri-kaizen-design v18.2</t>
  </si>
  <si>
    <t xml:space="preserve">Case reference</t>
  </si>
  <si>
    <t xml:space="preserve">KRK-BLUE-252</t>
  </si>
  <si>
    <t xml:space="preserve">Signal inversion ทำรอยรั่วให้เห็นชัด</t>
  </si>
  <si>
    <t xml:space="preserve">หลักการเดียวกัน: เปลี่ยนการเปลี่ยนสีจาง ๆ ให้เป็นสัญญาณที่เห็นทันที</t>
  </si>
  <si>
    <t xml:space="preserve">JMAC Blue p.252</t>
  </si>
  <si>
    <t xml:space="preserve">Source fact</t>
  </si>
  <si>
    <t xml:space="preserve">PDF p.13</t>
  </si>
  <si>
    <t xml:space="preserve">1 หยด/10 วินาที = 151 L/ปี</t>
  </si>
  <si>
    <t xml:space="preserve">ใช้คำนวณผลน้ำมันที่ไม่สูญเสีย</t>
  </si>
  <si>
    <t xml:space="preserve">Equipment Skills Training – Hydraulic</t>
  </si>
  <si>
    <t xml:space="preserve">Idea Pattern</t>
  </si>
  <si>
    <t xml:space="preserve">PT-3</t>
  </si>
  <si>
    <t xml:space="preserve">Visual Control ‘อย่าวัด จงกำหนด’</t>
  </si>
  <si>
    <t xml:space="preserve">เปลี่ยนการลองขันเป็นการดูเส้น</t>
  </si>
  <si>
    <t xml:space="preserve">BP1 p.102</t>
  </si>
  <si>
    <t xml:space="preserve">Eliminate การคลายถาวรต้องแก้ Design (EEM) · Relief ยังต้องปรับตั้งได้ → Change วิธีตรวจ</t>
  </si>
  <si>
    <t xml:space="preserve">ทำไมต้องลองขัน? มองไม่ออกว่าน็อตหมุนแล้ว → ทำไม? ไม่มีจุดอ้างอิงตำแหน่งเดิม → ทำไม? มาตรฐานการขันไม่กำหนดสภาพหลังขันให้มองเห็น</t>
  </si>
  <si>
    <t xml:space="preserve">การหมุนของน็อตแสดงผลตัวเองบนเส้นสี</t>
  </si>
  <si>
    <t xml:space="preserve">KRK-CBI-154</t>
  </si>
  <si>
    <t xml:space="preserve">ความหลวมที่ซ่อนอยู่ แสดงให้เห็นในพริบตา</t>
  </si>
  <si>
    <t xml:space="preserve">แนวคิดเดียวกัน: ทำให้การเสื่อมที่มองไม่เห็นกลายเป็นสัญญาณที่ทุกคนอ่านได้</t>
  </si>
  <si>
    <t xml:space="preserve">JIPM Case Book 1 p.154</t>
  </si>
  <si>
    <t xml:space="preserve">PDF p.17</t>
  </si>
  <si>
    <t xml:space="preserve">Lock nut หลวม → ค่าตั้ง Relief เปลี่ยน</t>
  </si>
  <si>
    <t xml:space="preserve">เป็นความผิดปกติหลักใน Daily inspection</t>
  </si>
  <si>
    <t xml:space="preserve">TNL 5 / 6</t>
  </si>
  <si>
    <t xml:space="preserve">ไม่ต้องวินิจฉัย · ไม่ต้องเข้าใกล้</t>
  </si>
  <si>
    <t xml:space="preserve">ใช้ตั้งโจทย์: Operator ไม่ต้องแยกเสียงและไม่ต้องเข้าใกล้ Coupling</t>
  </si>
  <si>
    <t xml:space="preserve">BP1 p.14</t>
  </si>
  <si>
    <t xml:space="preserve">Eliminate ทั้งหมดไม่ได้ (ยังต้องดูรั่ว) → Reduce การฟัง/แตะด้วย Sensor</t>
  </si>
  <si>
    <t xml:space="preserve">ทำไม Operator ใหม่พลาด? แยกเสียงในพื้นที่ดังยาก → ทำไม? ใช้หูเป็นเครื่องวัด → ทำไม? สภาพปกติของปั๊มไม่เคยถูกบันทึกเป็นตัวเลข (ไม่มี Baseline)</t>
  </si>
  <si>
    <t xml:space="preserve">P10 + P2</t>
  </si>
  <si>
    <t xml:space="preserve">ไฟฟ้าเฉพาะสัญญาณ · ตรวจที่ปรากฏการณ์</t>
  </si>
  <si>
    <t xml:space="preserve">Sensor ไม่ขับอะไร ใช้แจ้งเตือนเท่านั้น → ผ่าน ZH-H</t>
  </si>
  <si>
    <t xml:space="preserve">ทางเลือกไม่ใช้ไฟ</t>
  </si>
  <si>
    <t xml:space="preserve">ตัวชี้แบบ Follower ที่แสดงการสั่นนอกฝาครอบ — ใช้ได้เมื่อการสั่นผิดปกติมีแอมพลิจูดชัด</t>
  </si>
  <si>
    <t xml:space="preserve">[INFERENCE: L]</t>
  </si>
  <si>
    <t xml:space="preserve">PDF p.14, p.18–19</t>
  </si>
  <si>
    <t xml:space="preserve">สาเหตุเสียงดัง/แรงดันไม่พอ · ตรวจเสียงและสัมผัส</t>
  </si>
  <si>
    <t xml:space="preserve">เป็นเกณฑ์เดิมที่ Sensor เข้ามาช่วย</t>
  </si>
  <si>
    <t xml:space="preserve">PDF p.22</t>
  </si>
  <si>
    <t xml:space="preserve">Air cleaner แบบ Oil bath มีประสิทธิภาพสูงเมื่อฝุ่นมาก</t>
  </si>
  <si>
    <t xml:space="preserve">เปลี่ยนชนิดตามต้นฉบับ</t>
  </si>
  <si>
    <t xml:space="preserve">Eliminate แหล่งฝุ่น (ครอบ/ย้ายตำแหน่ง) ถ้าทำได้ดีที่สุด → ไม่ได้ จึง Change ชนิด Breather</t>
  </si>
  <si>
    <t xml:space="preserve">ทำไมล้างบ่อย? ไส้กรองตันเร็ว → ทำไม? ฝุ่นรอบถังมาก ไส้กรองแห้งดักฝุ่นที่ผิวจนตัน → ทำไม? ชนิด Breather ไม่เหมาะกับสภาพแวดล้อม (Environment)</t>
  </si>
  <si>
    <t xml:space="preserve">6 Factors</t>
  </si>
  <si>
    <t xml:space="preserve">Environment</t>
  </si>
  <si>
    <t xml:space="preserve">สภาพแวดล้อมเร่งการเสื่อม</t>
  </si>
  <si>
    <t xml:space="preserve">แก้ที่แหล่งสกปรก (SOC) ตาม AM Step 2</t>
  </si>
  <si>
    <t xml:space="preserve">AM Standard · Forced_Deterioration</t>
  </si>
  <si>
    <t xml:space="preserve">P6</t>
  </si>
  <si>
    <t xml:space="preserve">Fluid conductor</t>
  </si>
  <si>
    <t xml:space="preserve">ใช้น้ำมันเป็นตัวดักฝุ่นในทางอากาศ</t>
  </si>
  <si>
    <t xml:space="preserve">รายการ</t>
  </si>
  <si>
    <t xml:space="preserve">Round 1 — ZH Police (≥ 7/8)</t>
  </si>
  <si>
    <t xml:space="preserve">ZH-A ตัวเลขติด Tag ครบ</t>
  </si>
  <si>
    <t xml:space="preserve">ZH-B ไม่ invent Spec</t>
  </si>
  <si>
    <t xml:space="preserve">ZH-C Why ≥ 3 ชั้น</t>
  </si>
  <si>
    <t xml:space="preserve">ZH-E Physics Validity</t>
  </si>
  <si>
    <t xml:space="preserve">ZH-G Spring Rule</t>
  </si>
  <si>
    <t xml:space="preserve">ZH-H ไม่มี Motor/PLC เป็นแรงขับ</t>
  </si>
  <si>
    <t xml:space="preserve">ZH-I Prompt ตรงฟิสิกส์</t>
  </si>
  <si>
    <t xml:space="preserve">ZH-K Confidence ประกาศ</t>
  </si>
  <si>
    <t xml:space="preserve">Round 2 — Design Quality (≥ 6/7)</t>
  </si>
  <si>
    <t xml:space="preserve">ECR ก่อนกลไก</t>
  </si>
  <si>
    <r>
      <rPr>
        <sz val="9"/>
        <color rgb="FF000000"/>
        <rFont val="WenQuanYi Zen Hei"/>
        <family val="2"/>
      </rPr>
      <t xml:space="preserve">力・構造・原理 </t>
    </r>
    <r>
      <rPr>
        <sz val="9"/>
        <color rgb="FF000000"/>
        <rFont val="Tahoma"/>
        <family val="0"/>
        <charset val="1"/>
      </rPr>
      <t xml:space="preserve">ครบ</t>
    </r>
  </si>
  <si>
    <t xml:space="preserve">Point ①-⑤ มีเหตุผล</t>
  </si>
  <si>
    <t xml:space="preserve">Fail-safe ระบุ</t>
  </si>
  <si>
    <r>
      <rPr>
        <sz val="9"/>
        <color rgb="FF000000"/>
        <rFont val="WenQuanYi Zen Hei"/>
        <family val="2"/>
      </rPr>
      <t xml:space="preserve">苦労点 </t>
    </r>
    <r>
      <rPr>
        <sz val="9"/>
        <color rgb="FF000000"/>
        <rFont val="Tahoma"/>
        <family val="0"/>
        <charset val="1"/>
      </rPr>
      <t xml:space="preserve">Dual Layer</t>
    </r>
  </si>
  <si>
    <t xml:space="preserve">Quantified + สูตรเงิน</t>
  </si>
  <si>
    <t xml:space="preserve">Yokoten + วันที่</t>
  </si>
  <si>
    <t xml:space="preserve">Round 3 — Output Quality (≥ 4/5)</t>
  </si>
  <si>
    <t xml:space="preserve">Prompt ครบ Before/After/Close-up</t>
  </si>
  <si>
    <t xml:space="preserve">หลักการฝังใน Prompt</t>
  </si>
  <si>
    <t xml:space="preserve">Excel 4 Sheets</t>
  </si>
  <si>
    <t xml:space="preserve">เปิดได้จริง (verify แล้ว)</t>
  </si>
  <si>
    <t xml:space="preserve">One-Page ครบ 8 ช่อง Denso</t>
  </si>
  <si>
    <t xml:space="preserve">TOTAL (ผ่าน ≥ 17/20)</t>
  </si>
  <si>
    <t xml:space="preserve">ผล</t>
  </si>
  <si>
    <t xml:space="preserve">หมายเหตุ: Yokoten ได้ 0 จนกว่าจะกรอก Line จริง + วันที่</t>
  </si>
</sst>
</file>

<file path=xl/styles.xml><?xml version="1.0" encoding="utf-8"?>
<styleSheet xmlns="http://schemas.openxmlformats.org/spreadsheetml/2006/main">
  <numFmts count="2">
    <numFmt numFmtId="164" formatCode="General"/>
    <numFmt numFmtId="165" formatCode="General"/>
  </numFmts>
  <fonts count="30">
    <font>
      <sz val="11"/>
      <color theme="1"/>
      <name val="Calibri"/>
      <family val="2"/>
      <charset val="1"/>
    </font>
    <font>
      <sz val="10"/>
      <name val="Arial"/>
      <family val="0"/>
    </font>
    <font>
      <sz val="10"/>
      <name val="Arial"/>
      <family val="0"/>
    </font>
    <font>
      <sz val="10"/>
      <name val="Arial"/>
      <family val="0"/>
    </font>
    <font>
      <b val="true"/>
      <sz val="15"/>
      <color rgb="FFFFFFFF"/>
      <name val="Tahoma"/>
      <family val="0"/>
      <charset val="1"/>
    </font>
    <font>
      <b val="true"/>
      <sz val="15"/>
      <color rgb="FFFFFFFF"/>
      <name val="WenQuanYi Zen Hei"/>
      <family val="2"/>
    </font>
    <font>
      <i val="true"/>
      <sz val="9"/>
      <color rgb="FF5A6775"/>
      <name val="Tahoma"/>
      <family val="0"/>
      <charset val="1"/>
    </font>
    <font>
      <b val="true"/>
      <sz val="9"/>
      <name val="Tahoma"/>
      <family val="0"/>
      <charset val="1"/>
    </font>
    <font>
      <sz val="9"/>
      <color rgb="FF000000"/>
      <name val="Tahoma"/>
      <family val="0"/>
      <charset val="1"/>
    </font>
    <font>
      <i val="true"/>
      <sz val="8"/>
      <color rgb="FFB07A00"/>
      <name val="Tahoma"/>
      <family val="0"/>
      <charset val="1"/>
    </font>
    <font>
      <b val="true"/>
      <sz val="10"/>
      <color rgb="FFFFFFFF"/>
      <name val="Tahoma"/>
      <family val="0"/>
      <charset val="1"/>
    </font>
    <font>
      <b val="true"/>
      <sz val="9"/>
      <color rgb="FF000000"/>
      <name val="Tahoma"/>
      <family val="0"/>
      <charset val="1"/>
    </font>
    <font>
      <sz val="9"/>
      <color rgb="FF000000"/>
      <name val="WenQuanYi Zen Hei"/>
      <family val="2"/>
    </font>
    <font>
      <sz val="9"/>
      <color rgb="FFB07A00"/>
      <name val="Tahoma"/>
      <family val="0"/>
      <charset val="1"/>
    </font>
    <font>
      <b val="true"/>
      <sz val="11"/>
      <color rgb="FFFFFFFF"/>
      <name val="Tahoma"/>
      <family val="0"/>
      <charset val="1"/>
    </font>
    <font>
      <b val="true"/>
      <sz val="14"/>
      <color rgb="FF000000"/>
      <name val="Tahoma"/>
      <family val="0"/>
      <charset val="1"/>
    </font>
    <font>
      <b val="true"/>
      <sz val="14"/>
      <color rgb="FF000000"/>
      <name val="WenQuanYi Zen Hei"/>
      <family val="2"/>
    </font>
    <font>
      <b val="true"/>
      <sz val="10"/>
      <color rgb="FF000000"/>
      <name val="Tahoma"/>
      <family val="0"/>
      <charset val="1"/>
    </font>
    <font>
      <sz val="10"/>
      <color rgb="FF000000"/>
      <name val="Tahoma"/>
      <family val="0"/>
      <charset val="1"/>
    </font>
    <font>
      <sz val="10"/>
      <color rgb="FF000000"/>
      <name val="WenQuanYi Zen Hei"/>
      <family val="2"/>
    </font>
    <font>
      <b val="true"/>
      <sz val="10"/>
      <color rgb="FFC0504D"/>
      <name val="Tahoma"/>
      <family val="0"/>
      <charset val="1"/>
    </font>
    <font>
      <sz val="9"/>
      <color rgb="FF808080"/>
      <name val="Tahoma"/>
      <family val="0"/>
      <charset val="1"/>
    </font>
    <font>
      <b val="true"/>
      <sz val="11"/>
      <color rgb="FF000000"/>
      <name val="Tahoma"/>
      <family val="0"/>
      <charset val="1"/>
    </font>
    <font>
      <b val="true"/>
      <sz val="9"/>
      <color rgb="FFFFFFFF"/>
      <name val="Tahoma"/>
      <family val="0"/>
      <charset val="1"/>
    </font>
    <font>
      <b val="true"/>
      <sz val="9"/>
      <color rgb="FFFFFFFF"/>
      <name val="WenQuanYi Zen Hei"/>
      <family val="2"/>
    </font>
    <font>
      <b val="true"/>
      <sz val="11"/>
      <color rgb="FFC0504D"/>
      <name val="Tahoma"/>
      <family val="0"/>
      <charset val="1"/>
    </font>
    <font>
      <sz val="8"/>
      <color rgb="FF808080"/>
      <name val="Tahoma"/>
      <family val="0"/>
      <charset val="1"/>
    </font>
    <font>
      <b val="true"/>
      <sz val="11"/>
      <color rgb="FF000000"/>
      <name val="WenQuanYi Zen Hei"/>
      <family val="2"/>
    </font>
    <font>
      <b val="true"/>
      <sz val="10"/>
      <color rgb="FFC0504D"/>
      <name val="WenQuanYi Zen Hei"/>
      <family val="2"/>
    </font>
    <font>
      <sz val="8"/>
      <color rgb="FF000000"/>
      <name val="Tahoma"/>
      <family val="0"/>
      <charset val="1"/>
    </font>
  </fonts>
  <fills count="13">
    <fill>
      <patternFill patternType="none"/>
    </fill>
    <fill>
      <patternFill patternType="gray125"/>
    </fill>
    <fill>
      <patternFill patternType="solid">
        <fgColor rgb="FF44546A"/>
        <bgColor rgb="FF5A6775"/>
      </patternFill>
    </fill>
    <fill>
      <patternFill patternType="solid">
        <fgColor rgb="FFFFF2CC"/>
        <bgColor rgb="FFFCE7B2"/>
      </patternFill>
    </fill>
    <fill>
      <patternFill patternType="solid">
        <fgColor rgb="FFF2F2F2"/>
        <bgColor rgb="FFEDF0F5"/>
      </patternFill>
    </fill>
    <fill>
      <patternFill patternType="solid">
        <fgColor rgb="FFF8C9CF"/>
        <bgColor rgb="FFFCE7B2"/>
      </patternFill>
    </fill>
    <fill>
      <patternFill patternType="solid">
        <fgColor rgb="FFFCE7B2"/>
        <bgColor rgb="FFFFF2CC"/>
      </patternFill>
    </fill>
    <fill>
      <patternFill patternType="solid">
        <fgColor rgb="FFFFF59D"/>
        <bgColor rgb="FFFCE7B2"/>
      </patternFill>
    </fill>
    <fill>
      <patternFill patternType="solid">
        <fgColor rgb="FFEDF0F5"/>
        <bgColor rgb="FFF2F2F2"/>
      </patternFill>
    </fill>
    <fill>
      <patternFill patternType="solid">
        <fgColor rgb="FF8496B0"/>
        <bgColor rgb="FF808080"/>
      </patternFill>
    </fill>
    <fill>
      <patternFill patternType="solid">
        <fgColor rgb="FFC0504D"/>
        <bgColor rgb="FF993366"/>
      </patternFill>
    </fill>
    <fill>
      <patternFill patternType="solid">
        <fgColor rgb="FF70AD47"/>
        <bgColor rgb="FF99CC00"/>
      </patternFill>
    </fill>
    <fill>
      <patternFill patternType="solid">
        <fgColor rgb="FFED7D31"/>
        <bgColor rgb="FFFF8080"/>
      </patternFill>
    </fill>
  </fills>
  <borders count="3">
    <border diagonalUp="false" diagonalDown="false">
      <left/>
      <right/>
      <top/>
      <bottom/>
      <diagonal/>
    </border>
    <border diagonalUp="false" diagonalDown="false">
      <left style="thin">
        <color rgb="FFB0B7C3"/>
      </left>
      <right style="thin">
        <color rgb="FFB0B7C3"/>
      </right>
      <top style="thin">
        <color rgb="FFB0B7C3"/>
      </top>
      <bottom style="thin">
        <color rgb="FFB0B7C3"/>
      </bottom>
      <diagonal/>
    </border>
    <border diagonalUp="false" diagonalDown="false">
      <left style="thin">
        <color rgb="FFB0B7C3"/>
      </left>
      <right/>
      <top style="thin">
        <color rgb="FFB0B7C3"/>
      </top>
      <bottom style="thin">
        <color rgb="FFB0B7C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5" fontId="11"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4" fillId="2" borderId="1" xfId="0" applyFont="true" applyBorder="true" applyAlignment="true" applyProtection="false">
      <alignment horizontal="center" vertical="center" textRotation="0" wrapText="false" indent="0" shrinkToFit="false"/>
      <protection locked="true" hidden="false"/>
    </xf>
    <xf numFmtId="164" fontId="15" fillId="3" borderId="1" xfId="0" applyFont="true" applyBorder="true" applyAlignment="true" applyProtection="false">
      <alignment horizontal="left" vertical="top" textRotation="0" wrapText="true" indent="0" shrinkToFit="false"/>
      <protection locked="true" hidden="false"/>
    </xf>
    <xf numFmtId="164" fontId="17" fillId="8"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18" fillId="3"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4" fontId="14" fillId="1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20" fillId="8" borderId="1" xfId="0" applyFont="true" applyBorder="true" applyAlignment="true" applyProtection="false">
      <alignment horizontal="left" vertical="top" textRotation="0" wrapText="true" indent="0" shrinkToFit="false"/>
      <protection locked="true" hidden="false"/>
    </xf>
    <xf numFmtId="164" fontId="21" fillId="0" borderId="1" xfId="0" applyFont="true" applyBorder="true" applyAlignment="true" applyProtection="false">
      <alignment horizontal="center" vertical="top" textRotation="0" wrapText="true" indent="0" shrinkToFit="false"/>
      <protection locked="true" hidden="false"/>
    </xf>
    <xf numFmtId="164" fontId="14" fillId="11" borderId="1" xfId="0" applyFont="true" applyBorder="true" applyAlignment="true" applyProtection="false">
      <alignment horizontal="center" vertical="center" textRotation="0" wrapText="false" indent="0" shrinkToFit="false"/>
      <protection locked="true" hidden="false"/>
    </xf>
    <xf numFmtId="164" fontId="22" fillId="0" borderId="1" xfId="0" applyFont="true" applyBorder="true" applyAlignment="true" applyProtection="false">
      <alignment horizontal="left" vertical="top" textRotation="0" wrapText="true" indent="0" shrinkToFit="false"/>
      <protection locked="true" hidden="false"/>
    </xf>
    <xf numFmtId="164" fontId="23" fillId="12" borderId="1" xfId="0" applyFont="true" applyBorder="true" applyAlignment="true" applyProtection="false">
      <alignment horizontal="center" vertical="center" textRotation="0" wrapText="false" indent="0" shrinkToFit="false"/>
      <protection locked="true" hidden="false"/>
    </xf>
    <xf numFmtId="164" fontId="25"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26" fillId="0" borderId="0" xfId="0" applyFont="true" applyBorder="true" applyAlignment="true" applyProtection="false">
      <alignment horizontal="left" vertical="top"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1" fillId="8"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5" fontId="20" fillId="0" borderId="1" xfId="0" applyFont="true" applyBorder="true" applyAlignment="true" applyProtection="false">
      <alignment horizontal="center" vertical="center" textRotation="0" wrapText="true" indent="0" shrinkToFit="false"/>
      <protection locked="true" hidden="false"/>
    </xf>
    <xf numFmtId="164" fontId="29"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C8E6C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07A00"/>
      <rgbColor rgb="FF800080"/>
      <rgbColor rgb="FF008080"/>
      <rgbColor rgb="FFB0B7C3"/>
      <rgbColor rgb="FF808080"/>
      <rgbColor rgb="FF9999FF"/>
      <rgbColor rgb="FFC0504D"/>
      <rgbColor rgb="FFFFF2CC"/>
      <rgbColor rgb="FFEDF0F5"/>
      <rgbColor rgb="FF660066"/>
      <rgbColor rgb="FFFF8080"/>
      <rgbColor rgb="FF0066CC"/>
      <rgbColor rgb="FFFCE7B2"/>
      <rgbColor rgb="FF000080"/>
      <rgbColor rgb="FFFF00FF"/>
      <rgbColor rgb="FFFFFF00"/>
      <rgbColor rgb="FF00FFFF"/>
      <rgbColor rgb="FF800080"/>
      <rgbColor rgb="FF800000"/>
      <rgbColor rgb="FF008080"/>
      <rgbColor rgb="FF0000FF"/>
      <rgbColor rgb="FF00CCFF"/>
      <rgbColor rgb="FFF2F2F2"/>
      <rgbColor rgb="FFC8E6C9"/>
      <rgbColor rgb="FFFFF59D"/>
      <rgbColor rgb="FF99CCFF"/>
      <rgbColor rgb="FFFF99CC"/>
      <rgbColor rgb="FFCC99FF"/>
      <rgbColor rgb="FFF8C9CF"/>
      <rgbColor rgb="FF3366FF"/>
      <rgbColor rgb="FF33CCCC"/>
      <rgbColor rgb="FF99CC00"/>
      <rgbColor rgb="FFFFCC00"/>
      <rgbColor rgb="FFFF9900"/>
      <rgbColor rgb="FFED7D31"/>
      <rgbColor rgb="FF5A6775"/>
      <rgbColor rgb="FF8496B0"/>
      <rgbColor rgb="FF003366"/>
      <rgbColor rgb="FF70AD47"/>
      <rgbColor rgb="FF003300"/>
      <rgbColor rgb="FF333300"/>
      <rgbColor rgb="FF993300"/>
      <rgbColor rgb="FF993366"/>
      <rgbColor rgb="FF44546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34"/>
    <col collapsed="false" customWidth="true" hidden="false" outlineLevel="0" max="4" min="4" style="0" width="16"/>
    <col collapsed="false" customWidth="true" hidden="false" outlineLevel="0" max="5" min="5" style="0" width="10"/>
    <col collapsed="false" customWidth="true" hidden="false" outlineLevel="0" max="6" min="6" style="0" width="9"/>
    <col collapsed="false" customWidth="true" hidden="false" outlineLevel="0" max="7" min="7" style="0" width="11"/>
    <col collapsed="false" customWidth="true" hidden="false" outlineLevel="0" max="8" min="8" style="0" width="8"/>
    <col collapsed="false" customWidth="true" hidden="false" outlineLevel="0" max="9" min="9" style="0" width="10"/>
    <col collapsed="false" customWidth="true" hidden="false" outlineLevel="0" max="11" min="10" style="0" width="11"/>
    <col collapsed="false" customWidth="true" hidden="false" outlineLevel="0" max="12" min="12" style="0" width="8"/>
    <col collapsed="false" customWidth="true" hidden="false" outlineLevel="0" max="13" min="13" style="0" width="12"/>
    <col collapsed="false" customWidth="true" hidden="false" outlineLevel="0" max="14" min="14" style="0" width="9"/>
    <col collapsed="false" customWidth="true" hidden="false" outlineLevel="0" max="15" min="15" style="0" width="26"/>
    <col collapsed="false" customWidth="true" hidden="false" outlineLevel="0" max="16" min="16" style="0" width="12"/>
    <col collapsed="false" customWidth="true" hidden="false" outlineLevel="0" max="17" min="17" style="0" width="11"/>
  </cols>
  <sheetData>
    <row r="1" customFormat="false" ht="30" hidden="false" customHeight="true" outlineLevel="0" collapsed="false">
      <c r="A1" s="1" t="s">
        <v>0</v>
      </c>
      <c r="B1" s="1"/>
      <c r="C1" s="1"/>
      <c r="D1" s="1"/>
      <c r="E1" s="1"/>
      <c r="F1" s="1"/>
      <c r="G1" s="1"/>
      <c r="H1" s="1"/>
      <c r="I1" s="1"/>
      <c r="J1" s="1"/>
      <c r="K1" s="1"/>
      <c r="L1" s="1"/>
      <c r="M1" s="1"/>
      <c r="N1" s="1"/>
      <c r="O1" s="1"/>
      <c r="P1" s="1"/>
      <c r="Q1" s="1"/>
    </row>
    <row r="2" customFormat="false" ht="11.9" hidden="false" customHeight="false" outlineLevel="0" collapsed="false">
      <c r="A2" s="2" t="s">
        <v>1</v>
      </c>
      <c r="B2" s="2"/>
      <c r="C2" s="2"/>
      <c r="D2" s="2"/>
      <c r="E2" s="2"/>
      <c r="F2" s="2"/>
      <c r="G2" s="2"/>
      <c r="H2" s="2"/>
      <c r="I2" s="2"/>
      <c r="J2" s="2"/>
      <c r="K2" s="2"/>
      <c r="L2" s="2"/>
      <c r="M2" s="2"/>
      <c r="N2" s="2"/>
      <c r="O2" s="2"/>
      <c r="P2" s="2"/>
      <c r="Q2" s="2"/>
    </row>
    <row r="3" customFormat="false" ht="15" hidden="false" customHeight="false" outlineLevel="0" collapsed="false">
      <c r="A3" s="3" t="s">
        <v>2</v>
      </c>
      <c r="B3" s="4"/>
      <c r="C3" s="5" t="s">
        <v>3</v>
      </c>
    </row>
    <row r="5" customFormat="false" ht="31.5" hidden="false" customHeight="true" outlineLevel="0" collapsed="false">
      <c r="A5" s="6" t="s">
        <v>4</v>
      </c>
      <c r="B5" s="6" t="s">
        <v>5</v>
      </c>
      <c r="C5" s="6" t="s">
        <v>6</v>
      </c>
      <c r="D5" s="6" t="s">
        <v>7</v>
      </c>
      <c r="E5" s="6" t="s">
        <v>8</v>
      </c>
      <c r="F5" s="6" t="s">
        <v>9</v>
      </c>
      <c r="G5" s="6" t="s">
        <v>10</v>
      </c>
      <c r="H5" s="6" t="s">
        <v>11</v>
      </c>
      <c r="I5" s="6" t="s">
        <v>12</v>
      </c>
      <c r="J5" s="6" t="s">
        <v>13</v>
      </c>
      <c r="K5" s="6" t="s">
        <v>14</v>
      </c>
      <c r="L5" s="6" t="s">
        <v>15</v>
      </c>
      <c r="M5" s="6" t="s">
        <v>16</v>
      </c>
      <c r="N5" s="6" t="s">
        <v>17</v>
      </c>
      <c r="O5" s="6" t="s">
        <v>18</v>
      </c>
      <c r="P5" s="6" t="s">
        <v>19</v>
      </c>
      <c r="Q5" s="6" t="s">
        <v>20</v>
      </c>
    </row>
    <row r="6" customFormat="false" ht="42" hidden="false" customHeight="true" outlineLevel="0" collapsed="false">
      <c r="A6" s="7" t="n">
        <v>1</v>
      </c>
      <c r="B6" s="8" t="s">
        <v>21</v>
      </c>
      <c r="C6" s="9" t="s">
        <v>22</v>
      </c>
      <c r="D6" s="7" t="s">
        <v>23</v>
      </c>
      <c r="E6" s="7" t="s">
        <v>24</v>
      </c>
      <c r="F6" s="4" t="n">
        <v>3</v>
      </c>
      <c r="G6" s="4" t="n">
        <v>1</v>
      </c>
      <c r="H6" s="4" t="n">
        <v>312</v>
      </c>
      <c r="I6" s="10" t="n">
        <f aca="false">IFERROR(IF(OR(F6="",G6="",H6=""),"",(F6-G6)*H6),"")</f>
        <v>624</v>
      </c>
      <c r="J6" s="11" t="str">
        <f aca="false">IF(OR($B$3="",I6=""),"",ROUND(I6/60*$B$3,0))</f>
        <v/>
      </c>
      <c r="K6" s="4" t="n">
        <v>1000</v>
      </c>
      <c r="L6" s="12" t="s">
        <v>25</v>
      </c>
      <c r="M6" s="7" t="s">
        <v>26</v>
      </c>
      <c r="N6" s="10" t="n">
        <f aca="false">'Self-Check'!B$31</f>
        <v>19</v>
      </c>
      <c r="O6" s="9" t="s">
        <v>27</v>
      </c>
      <c r="P6" s="4" t="s">
        <v>28</v>
      </c>
      <c r="Q6" s="4"/>
    </row>
    <row r="7" customFormat="false" ht="42" hidden="false" customHeight="true" outlineLevel="0" collapsed="false">
      <c r="A7" s="7" t="n">
        <v>2</v>
      </c>
      <c r="B7" s="8" t="s">
        <v>29</v>
      </c>
      <c r="C7" s="9" t="s">
        <v>30</v>
      </c>
      <c r="D7" s="7" t="s">
        <v>31</v>
      </c>
      <c r="E7" s="7" t="s">
        <v>32</v>
      </c>
      <c r="F7" s="4" t="n">
        <v>3</v>
      </c>
      <c r="G7" s="4" t="n">
        <v>0.5</v>
      </c>
      <c r="H7" s="4" t="n">
        <v>52</v>
      </c>
      <c r="I7" s="10" t="n">
        <f aca="false">IFERROR(IF(OR(F7="",G7="",H7=""),"",(F7-G7)*H7),"")</f>
        <v>130</v>
      </c>
      <c r="J7" s="11" t="str">
        <f aca="false">IF(OR($B$3="",I7=""),"",ROUND(I7/60*$B$3,0))</f>
        <v/>
      </c>
      <c r="K7" s="4" t="n">
        <v>300</v>
      </c>
      <c r="L7" s="12" t="s">
        <v>25</v>
      </c>
      <c r="M7" s="7" t="s">
        <v>33</v>
      </c>
      <c r="N7" s="10" t="n">
        <f aca="false">'Self-Check'!C$31</f>
        <v>19</v>
      </c>
      <c r="O7" s="9" t="s">
        <v>34</v>
      </c>
      <c r="P7" s="4" t="s">
        <v>28</v>
      </c>
      <c r="Q7" s="4"/>
    </row>
    <row r="8" customFormat="false" ht="42" hidden="false" customHeight="true" outlineLevel="0" collapsed="false">
      <c r="A8" s="7" t="n">
        <v>3</v>
      </c>
      <c r="B8" s="8" t="s">
        <v>35</v>
      </c>
      <c r="C8" s="9" t="s">
        <v>36</v>
      </c>
      <c r="D8" s="7" t="s">
        <v>37</v>
      </c>
      <c r="E8" s="7" t="s">
        <v>32</v>
      </c>
      <c r="F8" s="4" t="n">
        <v>2</v>
      </c>
      <c r="G8" s="4" t="n">
        <v>0</v>
      </c>
      <c r="H8" s="4" t="n">
        <v>312</v>
      </c>
      <c r="I8" s="10" t="n">
        <f aca="false">IFERROR(IF(OR(F8="",G8="",H8=""),"",(F8-G8)*H8),"")</f>
        <v>624</v>
      </c>
      <c r="J8" s="11" t="str">
        <f aca="false">IF(OR($B$3="",I8=""),"",ROUND(I8/60*$B$3,0))</f>
        <v/>
      </c>
      <c r="K8" s="4" t="n">
        <v>2000</v>
      </c>
      <c r="L8" s="13" t="s">
        <v>38</v>
      </c>
      <c r="M8" s="7" t="s">
        <v>39</v>
      </c>
      <c r="N8" s="10" t="n">
        <f aca="false">'Self-Check'!D$31</f>
        <v>19</v>
      </c>
      <c r="O8" s="9" t="s">
        <v>40</v>
      </c>
      <c r="P8" s="4" t="s">
        <v>28</v>
      </c>
      <c r="Q8" s="4"/>
    </row>
    <row r="9" customFormat="false" ht="42" hidden="false" customHeight="true" outlineLevel="0" collapsed="false">
      <c r="A9" s="7" t="n">
        <v>4</v>
      </c>
      <c r="B9" s="8" t="s">
        <v>41</v>
      </c>
      <c r="C9" s="9" t="s">
        <v>42</v>
      </c>
      <c r="D9" s="7" t="s">
        <v>43</v>
      </c>
      <c r="E9" s="7" t="s">
        <v>24</v>
      </c>
      <c r="F9" s="4" t="n">
        <v>5</v>
      </c>
      <c r="G9" s="4" t="n">
        <v>2</v>
      </c>
      <c r="H9" s="4" t="n">
        <v>52</v>
      </c>
      <c r="I9" s="10" t="n">
        <f aca="false">IFERROR(IF(OR(F9="",G9="",H9=""),"",(F9-G9)*H9),"")</f>
        <v>156</v>
      </c>
      <c r="J9" s="11" t="str">
        <f aca="false">IF(OR($B$3="",I9=""),"",ROUND(I9/60*$B$3,0))</f>
        <v/>
      </c>
      <c r="K9" s="14" t="s">
        <v>44</v>
      </c>
      <c r="L9" s="15" t="s">
        <v>45</v>
      </c>
      <c r="M9" s="7" t="s">
        <v>46</v>
      </c>
      <c r="N9" s="10" t="n">
        <f aca="false">'Self-Check'!E$31</f>
        <v>19</v>
      </c>
      <c r="O9" s="9" t="s">
        <v>47</v>
      </c>
      <c r="P9" s="4" t="s">
        <v>28</v>
      </c>
      <c r="Q9" s="4"/>
    </row>
    <row r="10" customFormat="false" ht="15" hidden="false" customHeight="true" outlineLevel="0" collapsed="false">
      <c r="A10" s="8" t="s">
        <v>48</v>
      </c>
      <c r="B10" s="8"/>
      <c r="C10" s="8"/>
      <c r="D10" s="8"/>
      <c r="E10" s="8"/>
      <c r="F10" s="8"/>
      <c r="G10" s="8"/>
      <c r="H10" s="8"/>
      <c r="I10" s="10" t="n">
        <f aca="false">SUM(I6:I9)</f>
        <v>1534</v>
      </c>
      <c r="J10" s="10" t="str">
        <f aca="false">IF($B$3="","",SUM(J6:J9))</f>
        <v/>
      </c>
      <c r="K10" s="10" t="n">
        <f aca="false">SUM(K6:K9)</f>
        <v>3300</v>
      </c>
    </row>
    <row r="11" customFormat="false" ht="15" hidden="false" customHeight="true" outlineLevel="0" collapsed="false">
      <c r="A11" s="16" t="s">
        <v>49</v>
      </c>
      <c r="B11" s="16"/>
      <c r="C11" s="16"/>
      <c r="D11" s="16"/>
      <c r="E11" s="16"/>
      <c r="F11" s="16"/>
      <c r="G11" s="16"/>
      <c r="H11" s="16"/>
      <c r="I11" s="10" t="n">
        <f aca="false">ROUND(I10/60,1)</f>
        <v>25.6</v>
      </c>
    </row>
    <row r="13" customFormat="false" ht="31.5" hidden="false" customHeight="true" outlineLevel="0" collapsed="false">
      <c r="A13" s="17" t="s">
        <v>50</v>
      </c>
      <c r="B13" s="17"/>
      <c r="C13" s="17"/>
      <c r="D13" s="17"/>
      <c r="E13" s="17"/>
      <c r="F13" s="17"/>
      <c r="G13" s="17"/>
      <c r="H13" s="17"/>
      <c r="I13" s="17"/>
      <c r="J13" s="17"/>
      <c r="K13" s="17"/>
      <c r="L13" s="17"/>
      <c r="M13" s="17"/>
      <c r="N13" s="17"/>
      <c r="O13" s="17"/>
      <c r="P13" s="17"/>
      <c r="Q13" s="17"/>
    </row>
  </sheetData>
  <mergeCells count="5">
    <mergeCell ref="A1:Q1"/>
    <mergeCell ref="A2:Q2"/>
    <mergeCell ref="A10:H10"/>
    <mergeCell ref="A11:H11"/>
    <mergeCell ref="A13:Q13"/>
  </mergeCells>
  <dataValidations count="1">
    <dataValidation allowBlank="true" errorStyle="stop" operator="between" showDropDown="false" showErrorMessage="false" showInputMessage="false" sqref="P6:P9" type="list">
      <formula1>"วางแผน,กำลังทำ,เสร็จ,ยกเลิก"</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6" min="2" style="0" width="13"/>
    <col collapsed="false" customWidth="true" hidden="false" outlineLevel="0" max="7" min="7" style="0" width="3"/>
    <col collapsed="false" customWidth="true" hidden="false" outlineLevel="0" max="12" min="8" style="0" width="13"/>
    <col collapsed="false" customWidth="true" hidden="false" outlineLevel="0" max="13" min="13" style="0" width="3"/>
  </cols>
  <sheetData>
    <row r="2" customFormat="false" ht="15" hidden="false" customHeight="true" outlineLevel="0" collapsed="false">
      <c r="B2" s="18" t="s">
        <v>6</v>
      </c>
      <c r="C2" s="19" t="s">
        <v>51</v>
      </c>
      <c r="D2" s="19"/>
      <c r="E2" s="19"/>
      <c r="F2" s="19"/>
      <c r="G2" s="19"/>
      <c r="H2" s="19"/>
      <c r="I2" s="19"/>
      <c r="J2" s="19"/>
      <c r="K2" s="20" t="s">
        <v>52</v>
      </c>
      <c r="L2" s="20"/>
    </row>
    <row r="3" customFormat="false" ht="25.5" hidden="false" customHeight="true" outlineLevel="0" collapsed="false">
      <c r="B3" s="18"/>
      <c r="C3" s="19"/>
      <c r="D3" s="19"/>
      <c r="E3" s="19"/>
      <c r="F3" s="19"/>
      <c r="G3" s="19"/>
      <c r="H3" s="19"/>
      <c r="I3" s="19"/>
      <c r="J3" s="19"/>
      <c r="K3" s="21" t="s">
        <v>53</v>
      </c>
      <c r="L3" s="21"/>
    </row>
    <row r="5" customFormat="false" ht="15.75" hidden="false" customHeight="true" outlineLevel="0" collapsed="false">
      <c r="B5" s="18" t="s">
        <v>54</v>
      </c>
      <c r="C5" s="18"/>
      <c r="D5" s="22" t="s">
        <v>55</v>
      </c>
      <c r="E5" s="22"/>
      <c r="F5" s="22"/>
      <c r="G5" s="22"/>
      <c r="H5" s="22"/>
      <c r="I5" s="22"/>
      <c r="J5" s="22"/>
      <c r="K5" s="22"/>
      <c r="L5" s="22"/>
    </row>
    <row r="6" customFormat="false" ht="15" hidden="false" customHeight="false" outlineLevel="0" collapsed="false">
      <c r="B6" s="23"/>
      <c r="C6" s="23"/>
      <c r="D6" s="22"/>
      <c r="E6" s="22"/>
      <c r="F6" s="22"/>
      <c r="G6" s="22"/>
      <c r="H6" s="22"/>
      <c r="I6" s="22"/>
      <c r="J6" s="22"/>
      <c r="K6" s="22"/>
      <c r="L6" s="22"/>
    </row>
    <row r="8" customFormat="false" ht="15.75" hidden="false" customHeight="true" outlineLevel="0" collapsed="false">
      <c r="B8" s="24" t="s">
        <v>56</v>
      </c>
      <c r="C8" s="24"/>
      <c r="D8" s="24"/>
      <c r="E8" s="24"/>
      <c r="F8" s="24"/>
      <c r="H8" s="25" t="s">
        <v>57</v>
      </c>
      <c r="I8" s="25"/>
      <c r="J8" s="25"/>
      <c r="K8" s="25"/>
      <c r="L8" s="25"/>
    </row>
    <row r="9" customFormat="false" ht="15" hidden="false" customHeight="true" outlineLevel="0" collapsed="false">
      <c r="B9" s="26" t="s">
        <v>58</v>
      </c>
      <c r="C9" s="26"/>
      <c r="D9" s="26"/>
      <c r="E9" s="26"/>
      <c r="F9" s="26"/>
      <c r="H9" s="22" t="s">
        <v>59</v>
      </c>
      <c r="I9" s="22"/>
      <c r="J9" s="22"/>
      <c r="K9" s="22"/>
      <c r="L9" s="22"/>
    </row>
    <row r="10" customFormat="false" ht="15" hidden="false" customHeight="true" outlineLevel="0" collapsed="false">
      <c r="B10" s="22" t="s">
        <v>60</v>
      </c>
      <c r="C10" s="22"/>
      <c r="D10" s="22"/>
      <c r="E10" s="22"/>
      <c r="F10" s="22"/>
      <c r="H10" s="22" t="s">
        <v>61</v>
      </c>
      <c r="I10" s="22"/>
      <c r="J10" s="22"/>
      <c r="K10" s="22"/>
      <c r="L10" s="22"/>
    </row>
    <row r="11" customFormat="false" ht="15" hidden="false" customHeight="true" outlineLevel="0" collapsed="false">
      <c r="B11" s="22" t="s">
        <v>62</v>
      </c>
      <c r="C11" s="22"/>
      <c r="D11" s="22"/>
      <c r="E11" s="22"/>
      <c r="F11" s="22"/>
      <c r="H11" s="22" t="s">
        <v>63</v>
      </c>
      <c r="I11" s="22"/>
      <c r="J11" s="22"/>
      <c r="K11" s="22"/>
      <c r="L11" s="22"/>
    </row>
    <row r="12" customFormat="false" ht="15" hidden="false" customHeight="true" outlineLevel="0" collapsed="false">
      <c r="B12" s="22" t="s">
        <v>64</v>
      </c>
      <c r="C12" s="22"/>
      <c r="D12" s="22"/>
      <c r="E12" s="22"/>
      <c r="F12" s="22"/>
    </row>
    <row r="13" customFormat="false" ht="28.5" hidden="false" customHeight="true" outlineLevel="0" collapsed="false">
      <c r="B13" s="27" t="s">
        <v>65</v>
      </c>
      <c r="C13" s="27"/>
      <c r="D13" s="27"/>
      <c r="E13" s="27"/>
      <c r="F13" s="27"/>
    </row>
    <row r="14" customFormat="false" ht="15" hidden="false" customHeight="true" outlineLevel="0" collapsed="false">
      <c r="B14" s="28" t="s">
        <v>66</v>
      </c>
      <c r="C14" s="28"/>
      <c r="D14" s="28"/>
      <c r="E14" s="28"/>
      <c r="F14" s="28"/>
    </row>
    <row r="15" customFormat="false" ht="15" hidden="false" customHeight="false" outlineLevel="0" collapsed="false">
      <c r="B15" s="28"/>
      <c r="C15" s="28"/>
      <c r="D15" s="28"/>
      <c r="E15" s="28"/>
      <c r="F15" s="28"/>
    </row>
    <row r="16" customFormat="false" ht="15" hidden="false" customHeight="false" outlineLevel="0" collapsed="false">
      <c r="B16" s="28"/>
      <c r="C16" s="28"/>
      <c r="D16" s="28"/>
      <c r="E16" s="28"/>
      <c r="F16" s="28"/>
    </row>
    <row r="17" customFormat="false" ht="15" hidden="false" customHeight="false" outlineLevel="0" collapsed="false">
      <c r="B17" s="28"/>
      <c r="C17" s="28"/>
      <c r="D17" s="28"/>
      <c r="E17" s="28"/>
      <c r="F17" s="28"/>
    </row>
    <row r="19" customFormat="false" ht="15.75" hidden="false" customHeight="true" outlineLevel="0" collapsed="false">
      <c r="B19" s="29" t="s">
        <v>67</v>
      </c>
      <c r="C19" s="29"/>
      <c r="D19" s="29"/>
      <c r="E19" s="29"/>
      <c r="F19" s="29"/>
      <c r="G19" s="29"/>
      <c r="H19" s="29"/>
      <c r="I19" s="29"/>
      <c r="J19" s="29"/>
      <c r="K19" s="29"/>
      <c r="L19" s="29"/>
    </row>
    <row r="20" customFormat="false" ht="15.75" hidden="false" customHeight="true" outlineLevel="0" collapsed="false">
      <c r="B20" s="30" t="s">
        <v>68</v>
      </c>
      <c r="C20" s="30"/>
      <c r="D20" s="30"/>
      <c r="E20" s="30"/>
      <c r="F20" s="30"/>
      <c r="G20" s="30"/>
      <c r="H20" s="30"/>
      <c r="I20" s="30"/>
      <c r="J20" s="30"/>
      <c r="K20" s="30"/>
      <c r="L20" s="30"/>
    </row>
    <row r="21" customFormat="false" ht="15" hidden="false" customHeight="true" outlineLevel="0" collapsed="false">
      <c r="B21" s="31" t="s">
        <v>69</v>
      </c>
      <c r="C21" s="31"/>
      <c r="D21" s="22" t="s">
        <v>70</v>
      </c>
      <c r="E21" s="22"/>
      <c r="F21" s="22"/>
      <c r="G21" s="22"/>
      <c r="H21" s="22"/>
      <c r="I21" s="22"/>
      <c r="J21" s="22"/>
      <c r="K21" s="22"/>
      <c r="L21" s="22"/>
    </row>
    <row r="22" customFormat="false" ht="28.5" hidden="false" customHeight="true" outlineLevel="0" collapsed="false">
      <c r="B22" s="31" t="s">
        <v>71</v>
      </c>
      <c r="C22" s="31"/>
      <c r="D22" s="22" t="s">
        <v>72</v>
      </c>
      <c r="E22" s="22"/>
      <c r="F22" s="22"/>
      <c r="G22" s="22"/>
      <c r="H22" s="22"/>
      <c r="I22" s="22"/>
      <c r="J22" s="22"/>
      <c r="K22" s="22"/>
      <c r="L22" s="22"/>
    </row>
    <row r="23" customFormat="false" ht="15" hidden="false" customHeight="true" outlineLevel="0" collapsed="false">
      <c r="B23" s="31" t="s">
        <v>73</v>
      </c>
      <c r="C23" s="31"/>
      <c r="D23" s="22" t="s">
        <v>74</v>
      </c>
      <c r="E23" s="22"/>
      <c r="F23" s="22"/>
      <c r="G23" s="22"/>
      <c r="H23" s="22"/>
      <c r="I23" s="22"/>
      <c r="J23" s="22"/>
      <c r="K23" s="22"/>
      <c r="L23" s="22"/>
    </row>
    <row r="24" customFormat="false" ht="15" hidden="false" customHeight="true" outlineLevel="0" collapsed="false">
      <c r="B24" s="31" t="s">
        <v>75</v>
      </c>
      <c r="C24" s="31"/>
      <c r="D24" s="22" t="s">
        <v>76</v>
      </c>
      <c r="E24" s="22"/>
      <c r="F24" s="22"/>
      <c r="G24" s="22"/>
      <c r="H24" s="22"/>
      <c r="I24" s="22"/>
      <c r="J24" s="22"/>
      <c r="K24" s="22"/>
      <c r="L24" s="22"/>
    </row>
    <row r="25" customFormat="false" ht="28.5" hidden="false" customHeight="true" outlineLevel="0" collapsed="false">
      <c r="B25" s="31" t="s">
        <v>77</v>
      </c>
      <c r="C25" s="31"/>
      <c r="D25" s="22" t="s">
        <v>78</v>
      </c>
      <c r="E25" s="22"/>
      <c r="F25" s="22"/>
      <c r="G25" s="22"/>
      <c r="H25" s="22"/>
      <c r="I25" s="22"/>
      <c r="J25" s="22"/>
      <c r="K25" s="22"/>
      <c r="L25" s="22"/>
    </row>
    <row r="26" customFormat="false" ht="15" hidden="false" customHeight="true" outlineLevel="0" collapsed="false">
      <c r="B26" s="28" t="s">
        <v>79</v>
      </c>
      <c r="C26" s="28"/>
      <c r="D26" s="28"/>
      <c r="E26" s="28"/>
      <c r="F26" s="28"/>
      <c r="G26" s="28"/>
      <c r="H26" s="28"/>
      <c r="I26" s="28"/>
      <c r="J26" s="28"/>
      <c r="K26" s="28"/>
      <c r="L26" s="28"/>
    </row>
    <row r="27" customFormat="false" ht="15" hidden="false" customHeight="false" outlineLevel="0" collapsed="false">
      <c r="B27" s="28"/>
      <c r="C27" s="28"/>
      <c r="D27" s="28"/>
      <c r="E27" s="28"/>
      <c r="F27" s="28"/>
      <c r="G27" s="28"/>
      <c r="H27" s="28"/>
      <c r="I27" s="28"/>
      <c r="J27" s="28"/>
      <c r="K27" s="28"/>
      <c r="L27" s="28"/>
    </row>
    <row r="28" customFormat="false" ht="15" hidden="false" customHeight="false" outlineLevel="0" collapsed="false">
      <c r="B28" s="28"/>
      <c r="C28" s="28"/>
      <c r="D28" s="28"/>
      <c r="E28" s="28"/>
      <c r="F28" s="28"/>
      <c r="G28" s="28"/>
      <c r="H28" s="28"/>
      <c r="I28" s="28"/>
      <c r="J28" s="28"/>
      <c r="K28" s="28"/>
      <c r="L28" s="28"/>
    </row>
    <row r="29" customFormat="false" ht="15" hidden="false" customHeight="false" outlineLevel="0" collapsed="false">
      <c r="B29" s="28"/>
      <c r="C29" s="28"/>
      <c r="D29" s="28"/>
      <c r="E29" s="28"/>
      <c r="F29" s="28"/>
      <c r="G29" s="28"/>
      <c r="H29" s="28"/>
      <c r="I29" s="28"/>
      <c r="J29" s="28"/>
      <c r="K29" s="28"/>
      <c r="L29" s="28"/>
    </row>
    <row r="31" customFormat="false" ht="15.75" hidden="false" customHeight="true" outlineLevel="0" collapsed="false">
      <c r="B31" s="24" t="s">
        <v>80</v>
      </c>
      <c r="C31" s="22" t="s">
        <v>81</v>
      </c>
      <c r="D31" s="22"/>
      <c r="E31" s="22"/>
      <c r="F31" s="23"/>
      <c r="G31" s="23"/>
      <c r="H31" s="23"/>
      <c r="I31" s="23"/>
      <c r="J31" s="23"/>
      <c r="K31" s="23"/>
      <c r="L31" s="23"/>
    </row>
    <row r="32" customFormat="false" ht="31.5" hidden="false" customHeight="true" outlineLevel="0" collapsed="false">
      <c r="B32" s="25" t="s">
        <v>82</v>
      </c>
      <c r="C32" s="32" t="s">
        <v>83</v>
      </c>
      <c r="D32" s="32"/>
      <c r="E32" s="32"/>
      <c r="F32" s="32"/>
      <c r="G32" s="32"/>
      <c r="H32" s="32"/>
      <c r="I32" s="32"/>
      <c r="J32" s="32"/>
      <c r="K32" s="32"/>
      <c r="L32" s="32"/>
    </row>
    <row r="33" customFormat="false" ht="15.75" hidden="false" customHeight="true" outlineLevel="0" collapsed="false">
      <c r="B33" s="18" t="s">
        <v>84</v>
      </c>
      <c r="C33" s="33" t="s">
        <v>85</v>
      </c>
      <c r="D33" s="33"/>
      <c r="E33" s="33"/>
      <c r="F33" s="33"/>
      <c r="G33" s="33"/>
      <c r="H33" s="33"/>
      <c r="I33" s="33"/>
      <c r="J33" s="33"/>
      <c r="K33" s="33"/>
      <c r="L33" s="33"/>
    </row>
    <row r="35" customFormat="false" ht="22.5" hidden="false" customHeight="true" outlineLevel="0" collapsed="false">
      <c r="B35" s="34" t="s">
        <v>86</v>
      </c>
      <c r="C35" s="34"/>
      <c r="D35" s="34"/>
      <c r="E35" s="34"/>
      <c r="F35" s="34"/>
      <c r="G35" s="34"/>
      <c r="H35" s="34"/>
      <c r="I35" s="34"/>
      <c r="J35" s="34"/>
      <c r="K35" s="34"/>
      <c r="L35" s="34"/>
    </row>
  </sheetData>
  <mergeCells count="35">
    <mergeCell ref="B2:B3"/>
    <mergeCell ref="C2:J3"/>
    <mergeCell ref="K2:L2"/>
    <mergeCell ref="K3:L3"/>
    <mergeCell ref="B5:C5"/>
    <mergeCell ref="D5:L6"/>
    <mergeCell ref="B6:C6"/>
    <mergeCell ref="B8:F8"/>
    <mergeCell ref="H8:L8"/>
    <mergeCell ref="B9:F9"/>
    <mergeCell ref="H9:L9"/>
    <mergeCell ref="B10:F10"/>
    <mergeCell ref="H10:L10"/>
    <mergeCell ref="B11:F11"/>
    <mergeCell ref="H11:L11"/>
    <mergeCell ref="B12:F12"/>
    <mergeCell ref="B13:F13"/>
    <mergeCell ref="B14:F17"/>
    <mergeCell ref="B19:L19"/>
    <mergeCell ref="B20:L20"/>
    <mergeCell ref="B21:C21"/>
    <mergeCell ref="D21:L21"/>
    <mergeCell ref="B22:C22"/>
    <mergeCell ref="D22:L22"/>
    <mergeCell ref="B23:C23"/>
    <mergeCell ref="D23:L23"/>
    <mergeCell ref="B24:C24"/>
    <mergeCell ref="D24:L24"/>
    <mergeCell ref="B25:C25"/>
    <mergeCell ref="D25:L25"/>
    <mergeCell ref="B26:L29"/>
    <mergeCell ref="C31:E31"/>
    <mergeCell ref="C32:L32"/>
    <mergeCell ref="C33:L33"/>
    <mergeCell ref="B35:L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6" min="2" style="0" width="13"/>
    <col collapsed="false" customWidth="true" hidden="false" outlineLevel="0" max="7" min="7" style="0" width="3"/>
    <col collapsed="false" customWidth="true" hidden="false" outlineLevel="0" max="12" min="8" style="0" width="13"/>
    <col collapsed="false" customWidth="true" hidden="false" outlineLevel="0" max="13" min="13" style="0" width="3"/>
  </cols>
  <sheetData>
    <row r="2" customFormat="false" ht="15" hidden="false" customHeight="true" outlineLevel="0" collapsed="false">
      <c r="B2" s="18" t="s">
        <v>6</v>
      </c>
      <c r="C2" s="19" t="s">
        <v>87</v>
      </c>
      <c r="D2" s="19"/>
      <c r="E2" s="19"/>
      <c r="F2" s="19"/>
      <c r="G2" s="19"/>
      <c r="H2" s="19"/>
      <c r="I2" s="19"/>
      <c r="J2" s="19"/>
      <c r="K2" s="20" t="s">
        <v>52</v>
      </c>
      <c r="L2" s="20"/>
    </row>
    <row r="3" customFormat="false" ht="25.5" hidden="false" customHeight="true" outlineLevel="0" collapsed="false">
      <c r="B3" s="18"/>
      <c r="C3" s="19"/>
      <c r="D3" s="19"/>
      <c r="E3" s="19"/>
      <c r="F3" s="19"/>
      <c r="G3" s="19"/>
      <c r="H3" s="19"/>
      <c r="I3" s="19"/>
      <c r="J3" s="19"/>
      <c r="K3" s="21" t="s">
        <v>53</v>
      </c>
      <c r="L3" s="21"/>
    </row>
    <row r="5" customFormat="false" ht="15.75" hidden="false" customHeight="true" outlineLevel="0" collapsed="false">
      <c r="B5" s="18" t="s">
        <v>54</v>
      </c>
      <c r="C5" s="18"/>
      <c r="D5" s="22" t="s">
        <v>88</v>
      </c>
      <c r="E5" s="22"/>
      <c r="F5" s="22"/>
      <c r="G5" s="22"/>
      <c r="H5" s="22"/>
      <c r="I5" s="22"/>
      <c r="J5" s="22"/>
      <c r="K5" s="22"/>
      <c r="L5" s="22"/>
    </row>
    <row r="6" customFormat="false" ht="15" hidden="false" customHeight="false" outlineLevel="0" collapsed="false">
      <c r="B6" s="23"/>
      <c r="C6" s="23"/>
      <c r="D6" s="22"/>
      <c r="E6" s="22"/>
      <c r="F6" s="22"/>
      <c r="G6" s="22"/>
      <c r="H6" s="22"/>
      <c r="I6" s="22"/>
      <c r="J6" s="22"/>
      <c r="K6" s="22"/>
      <c r="L6" s="22"/>
    </row>
    <row r="8" customFormat="false" ht="15.75" hidden="false" customHeight="true" outlineLevel="0" collapsed="false">
      <c r="B8" s="24" t="s">
        <v>56</v>
      </c>
      <c r="C8" s="24"/>
      <c r="D8" s="24"/>
      <c r="E8" s="24"/>
      <c r="F8" s="24"/>
      <c r="H8" s="25" t="s">
        <v>57</v>
      </c>
      <c r="I8" s="25"/>
      <c r="J8" s="25"/>
      <c r="K8" s="25"/>
      <c r="L8" s="25"/>
    </row>
    <row r="9" customFormat="false" ht="15" hidden="false" customHeight="true" outlineLevel="0" collapsed="false">
      <c r="B9" s="26" t="s">
        <v>58</v>
      </c>
      <c r="C9" s="26"/>
      <c r="D9" s="26"/>
      <c r="E9" s="26"/>
      <c r="F9" s="26"/>
      <c r="H9" s="22" t="s">
        <v>89</v>
      </c>
      <c r="I9" s="22"/>
      <c r="J9" s="22"/>
      <c r="K9" s="22"/>
      <c r="L9" s="22"/>
    </row>
    <row r="10" customFormat="false" ht="15" hidden="false" customHeight="true" outlineLevel="0" collapsed="false">
      <c r="B10" s="22" t="s">
        <v>90</v>
      </c>
      <c r="C10" s="22"/>
      <c r="D10" s="22"/>
      <c r="E10" s="22"/>
      <c r="F10" s="22"/>
      <c r="H10" s="22" t="s">
        <v>91</v>
      </c>
      <c r="I10" s="22"/>
      <c r="J10" s="22"/>
      <c r="K10" s="22"/>
      <c r="L10" s="22"/>
    </row>
    <row r="11" customFormat="false" ht="15" hidden="false" customHeight="true" outlineLevel="0" collapsed="false">
      <c r="B11" s="22" t="s">
        <v>92</v>
      </c>
      <c r="C11" s="22"/>
      <c r="D11" s="22"/>
      <c r="E11" s="22"/>
      <c r="F11" s="22"/>
      <c r="H11" s="22" t="s">
        <v>93</v>
      </c>
      <c r="I11" s="22"/>
      <c r="J11" s="22"/>
      <c r="K11" s="22"/>
      <c r="L11" s="22"/>
    </row>
    <row r="12" customFormat="false" ht="15" hidden="false" customHeight="true" outlineLevel="0" collapsed="false">
      <c r="B12" s="22" t="s">
        <v>94</v>
      </c>
      <c r="C12" s="22"/>
      <c r="D12" s="22"/>
      <c r="E12" s="22"/>
      <c r="F12" s="22"/>
    </row>
    <row r="13" customFormat="false" ht="28.5" hidden="false" customHeight="true" outlineLevel="0" collapsed="false">
      <c r="B13" s="27" t="s">
        <v>95</v>
      </c>
      <c r="C13" s="27"/>
      <c r="D13" s="27"/>
      <c r="E13" s="27"/>
      <c r="F13" s="27"/>
    </row>
    <row r="14" customFormat="false" ht="15" hidden="false" customHeight="true" outlineLevel="0" collapsed="false">
      <c r="B14" s="28" t="s">
        <v>96</v>
      </c>
      <c r="C14" s="28"/>
      <c r="D14" s="28"/>
      <c r="E14" s="28"/>
      <c r="F14" s="28"/>
    </row>
    <row r="15" customFormat="false" ht="15" hidden="false" customHeight="false" outlineLevel="0" collapsed="false">
      <c r="B15" s="28"/>
      <c r="C15" s="28"/>
      <c r="D15" s="28"/>
      <c r="E15" s="28"/>
      <c r="F15" s="28"/>
    </row>
    <row r="16" customFormat="false" ht="15" hidden="false" customHeight="false" outlineLevel="0" collapsed="false">
      <c r="B16" s="28"/>
      <c r="C16" s="28"/>
      <c r="D16" s="28"/>
      <c r="E16" s="28"/>
      <c r="F16" s="28"/>
    </row>
    <row r="17" customFormat="false" ht="15" hidden="false" customHeight="false" outlineLevel="0" collapsed="false">
      <c r="B17" s="28"/>
      <c r="C17" s="28"/>
      <c r="D17" s="28"/>
      <c r="E17" s="28"/>
      <c r="F17" s="28"/>
    </row>
    <row r="19" customFormat="false" ht="15.75" hidden="false" customHeight="true" outlineLevel="0" collapsed="false">
      <c r="B19" s="29" t="s">
        <v>67</v>
      </c>
      <c r="C19" s="29"/>
      <c r="D19" s="29"/>
      <c r="E19" s="29"/>
      <c r="F19" s="29"/>
      <c r="G19" s="29"/>
      <c r="H19" s="29"/>
      <c r="I19" s="29"/>
      <c r="J19" s="29"/>
      <c r="K19" s="29"/>
      <c r="L19" s="29"/>
    </row>
    <row r="20" customFormat="false" ht="15.75" hidden="false" customHeight="true" outlineLevel="0" collapsed="false">
      <c r="B20" s="30" t="s">
        <v>97</v>
      </c>
      <c r="C20" s="30"/>
      <c r="D20" s="30"/>
      <c r="E20" s="30"/>
      <c r="F20" s="30"/>
      <c r="G20" s="30"/>
      <c r="H20" s="30"/>
      <c r="I20" s="30"/>
      <c r="J20" s="30"/>
      <c r="K20" s="30"/>
      <c r="L20" s="30"/>
    </row>
    <row r="21" customFormat="false" ht="15" hidden="false" customHeight="true" outlineLevel="0" collapsed="false">
      <c r="B21" s="31" t="s">
        <v>69</v>
      </c>
      <c r="C21" s="31"/>
      <c r="D21" s="22" t="s">
        <v>98</v>
      </c>
      <c r="E21" s="22"/>
      <c r="F21" s="22"/>
      <c r="G21" s="22"/>
      <c r="H21" s="22"/>
      <c r="I21" s="22"/>
      <c r="J21" s="22"/>
      <c r="K21" s="22"/>
      <c r="L21" s="22"/>
    </row>
    <row r="22" customFormat="false" ht="28.5" hidden="false" customHeight="true" outlineLevel="0" collapsed="false">
      <c r="B22" s="31" t="s">
        <v>71</v>
      </c>
      <c r="C22" s="31"/>
      <c r="D22" s="22" t="s">
        <v>99</v>
      </c>
      <c r="E22" s="22"/>
      <c r="F22" s="22"/>
      <c r="G22" s="22"/>
      <c r="H22" s="22"/>
      <c r="I22" s="22"/>
      <c r="J22" s="22"/>
      <c r="K22" s="22"/>
      <c r="L22" s="22"/>
    </row>
    <row r="23" customFormat="false" ht="15" hidden="false" customHeight="true" outlineLevel="0" collapsed="false">
      <c r="B23" s="31" t="s">
        <v>73</v>
      </c>
      <c r="C23" s="31"/>
      <c r="D23" s="22" t="s">
        <v>100</v>
      </c>
      <c r="E23" s="22"/>
      <c r="F23" s="22"/>
      <c r="G23" s="22"/>
      <c r="H23" s="22"/>
      <c r="I23" s="22"/>
      <c r="J23" s="22"/>
      <c r="K23" s="22"/>
      <c r="L23" s="22"/>
    </row>
    <row r="24" customFormat="false" ht="15" hidden="false" customHeight="true" outlineLevel="0" collapsed="false">
      <c r="B24" s="31" t="s">
        <v>75</v>
      </c>
      <c r="C24" s="31"/>
      <c r="D24" s="22" t="s">
        <v>101</v>
      </c>
      <c r="E24" s="22"/>
      <c r="F24" s="22"/>
      <c r="G24" s="22"/>
      <c r="H24" s="22"/>
      <c r="I24" s="22"/>
      <c r="J24" s="22"/>
      <c r="K24" s="22"/>
      <c r="L24" s="22"/>
    </row>
    <row r="25" customFormat="false" ht="28.5" hidden="false" customHeight="true" outlineLevel="0" collapsed="false">
      <c r="B25" s="31" t="s">
        <v>77</v>
      </c>
      <c r="C25" s="31"/>
      <c r="D25" s="22" t="s">
        <v>102</v>
      </c>
      <c r="E25" s="22"/>
      <c r="F25" s="22"/>
      <c r="G25" s="22"/>
      <c r="H25" s="22"/>
      <c r="I25" s="22"/>
      <c r="J25" s="22"/>
      <c r="K25" s="22"/>
      <c r="L25" s="22"/>
    </row>
    <row r="26" customFormat="false" ht="15" hidden="false" customHeight="true" outlineLevel="0" collapsed="false">
      <c r="B26" s="28" t="s">
        <v>103</v>
      </c>
      <c r="C26" s="28"/>
      <c r="D26" s="28"/>
      <c r="E26" s="28"/>
      <c r="F26" s="28"/>
      <c r="G26" s="28"/>
      <c r="H26" s="28"/>
      <c r="I26" s="28"/>
      <c r="J26" s="28"/>
      <c r="K26" s="28"/>
      <c r="L26" s="28"/>
    </row>
    <row r="27" customFormat="false" ht="15" hidden="false" customHeight="false" outlineLevel="0" collapsed="false">
      <c r="B27" s="28"/>
      <c r="C27" s="28"/>
      <c r="D27" s="28"/>
      <c r="E27" s="28"/>
      <c r="F27" s="28"/>
      <c r="G27" s="28"/>
      <c r="H27" s="28"/>
      <c r="I27" s="28"/>
      <c r="J27" s="28"/>
      <c r="K27" s="28"/>
      <c r="L27" s="28"/>
    </row>
    <row r="28" customFormat="false" ht="15" hidden="false" customHeight="false" outlineLevel="0" collapsed="false">
      <c r="B28" s="28"/>
      <c r="C28" s="28"/>
      <c r="D28" s="28"/>
      <c r="E28" s="28"/>
      <c r="F28" s="28"/>
      <c r="G28" s="28"/>
      <c r="H28" s="28"/>
      <c r="I28" s="28"/>
      <c r="J28" s="28"/>
      <c r="K28" s="28"/>
      <c r="L28" s="28"/>
    </row>
    <row r="29" customFormat="false" ht="15" hidden="false" customHeight="false" outlineLevel="0" collapsed="false">
      <c r="B29" s="28"/>
      <c r="C29" s="28"/>
      <c r="D29" s="28"/>
      <c r="E29" s="28"/>
      <c r="F29" s="28"/>
      <c r="G29" s="28"/>
      <c r="H29" s="28"/>
      <c r="I29" s="28"/>
      <c r="J29" s="28"/>
      <c r="K29" s="28"/>
      <c r="L29" s="28"/>
    </row>
    <row r="31" customFormat="false" ht="28.5" hidden="false" customHeight="true" outlineLevel="0" collapsed="false">
      <c r="B31" s="24" t="s">
        <v>80</v>
      </c>
      <c r="C31" s="22" t="s">
        <v>104</v>
      </c>
      <c r="D31" s="22"/>
      <c r="E31" s="22"/>
      <c r="F31" s="23"/>
      <c r="G31" s="23"/>
      <c r="H31" s="23"/>
      <c r="I31" s="23"/>
      <c r="J31" s="23"/>
      <c r="K31" s="23"/>
      <c r="L31" s="23"/>
    </row>
    <row r="32" customFormat="false" ht="31.5" hidden="false" customHeight="true" outlineLevel="0" collapsed="false">
      <c r="B32" s="25" t="s">
        <v>82</v>
      </c>
      <c r="C32" s="32" t="s">
        <v>105</v>
      </c>
      <c r="D32" s="32"/>
      <c r="E32" s="32"/>
      <c r="F32" s="32"/>
      <c r="G32" s="32"/>
      <c r="H32" s="32"/>
      <c r="I32" s="32"/>
      <c r="J32" s="32"/>
      <c r="K32" s="32"/>
      <c r="L32" s="32"/>
    </row>
    <row r="33" customFormat="false" ht="15.75" hidden="false" customHeight="true" outlineLevel="0" collapsed="false">
      <c r="B33" s="18" t="s">
        <v>84</v>
      </c>
      <c r="C33" s="33" t="s">
        <v>106</v>
      </c>
      <c r="D33" s="33"/>
      <c r="E33" s="33"/>
      <c r="F33" s="33"/>
      <c r="G33" s="33"/>
      <c r="H33" s="33"/>
      <c r="I33" s="33"/>
      <c r="J33" s="33"/>
      <c r="K33" s="33"/>
      <c r="L33" s="33"/>
    </row>
    <row r="35" customFormat="false" ht="22.5" hidden="false" customHeight="true" outlineLevel="0" collapsed="false">
      <c r="B35" s="34" t="s">
        <v>86</v>
      </c>
      <c r="C35" s="34"/>
      <c r="D35" s="34"/>
      <c r="E35" s="34"/>
      <c r="F35" s="34"/>
      <c r="G35" s="34"/>
      <c r="H35" s="34"/>
      <c r="I35" s="34"/>
      <c r="J35" s="34"/>
      <c r="K35" s="34"/>
      <c r="L35" s="34"/>
    </row>
  </sheetData>
  <mergeCells count="35">
    <mergeCell ref="B2:B3"/>
    <mergeCell ref="C2:J3"/>
    <mergeCell ref="K2:L2"/>
    <mergeCell ref="K3:L3"/>
    <mergeCell ref="B5:C5"/>
    <mergeCell ref="D5:L6"/>
    <mergeCell ref="B6:C6"/>
    <mergeCell ref="B8:F8"/>
    <mergeCell ref="H8:L8"/>
    <mergeCell ref="B9:F9"/>
    <mergeCell ref="H9:L9"/>
    <mergeCell ref="B10:F10"/>
    <mergeCell ref="H10:L10"/>
    <mergeCell ref="B11:F11"/>
    <mergeCell ref="H11:L11"/>
    <mergeCell ref="B12:F12"/>
    <mergeCell ref="B13:F13"/>
    <mergeCell ref="B14:F17"/>
    <mergeCell ref="B19:L19"/>
    <mergeCell ref="B20:L20"/>
    <mergeCell ref="B21:C21"/>
    <mergeCell ref="D21:L21"/>
    <mergeCell ref="B22:C22"/>
    <mergeCell ref="D22:L22"/>
    <mergeCell ref="B23:C23"/>
    <mergeCell ref="D23:L23"/>
    <mergeCell ref="B24:C24"/>
    <mergeCell ref="D24:L24"/>
    <mergeCell ref="B25:C25"/>
    <mergeCell ref="D25:L25"/>
    <mergeCell ref="B26:L29"/>
    <mergeCell ref="C31:E31"/>
    <mergeCell ref="C32:L32"/>
    <mergeCell ref="C33:L33"/>
    <mergeCell ref="B35:L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6" min="2" style="0" width="13"/>
    <col collapsed="false" customWidth="true" hidden="false" outlineLevel="0" max="7" min="7" style="0" width="3"/>
    <col collapsed="false" customWidth="true" hidden="false" outlineLevel="0" max="12" min="8" style="0" width="13"/>
    <col collapsed="false" customWidth="true" hidden="false" outlineLevel="0" max="13" min="13" style="0" width="3"/>
  </cols>
  <sheetData>
    <row r="2" customFormat="false" ht="15" hidden="false" customHeight="true" outlineLevel="0" collapsed="false">
      <c r="B2" s="18" t="s">
        <v>6</v>
      </c>
      <c r="C2" s="19" t="s">
        <v>107</v>
      </c>
      <c r="D2" s="19"/>
      <c r="E2" s="19"/>
      <c r="F2" s="19"/>
      <c r="G2" s="19"/>
      <c r="H2" s="19"/>
      <c r="I2" s="19"/>
      <c r="J2" s="19"/>
      <c r="K2" s="20" t="s">
        <v>52</v>
      </c>
      <c r="L2" s="20"/>
    </row>
    <row r="3" customFormat="false" ht="25.5" hidden="false" customHeight="true" outlineLevel="0" collapsed="false">
      <c r="B3" s="18"/>
      <c r="C3" s="19"/>
      <c r="D3" s="19"/>
      <c r="E3" s="19"/>
      <c r="F3" s="19"/>
      <c r="G3" s="19"/>
      <c r="H3" s="19"/>
      <c r="I3" s="19"/>
      <c r="J3" s="19"/>
      <c r="K3" s="21" t="s">
        <v>53</v>
      </c>
      <c r="L3" s="21"/>
    </row>
    <row r="5" customFormat="false" ht="15.75" hidden="false" customHeight="true" outlineLevel="0" collapsed="false">
      <c r="B5" s="18" t="s">
        <v>54</v>
      </c>
      <c r="C5" s="18"/>
      <c r="D5" s="22" t="s">
        <v>108</v>
      </c>
      <c r="E5" s="22"/>
      <c r="F5" s="22"/>
      <c r="G5" s="22"/>
      <c r="H5" s="22"/>
      <c r="I5" s="22"/>
      <c r="J5" s="22"/>
      <c r="K5" s="22"/>
      <c r="L5" s="22"/>
    </row>
    <row r="6" customFormat="false" ht="15" hidden="false" customHeight="false" outlineLevel="0" collapsed="false">
      <c r="B6" s="23"/>
      <c r="C6" s="23"/>
      <c r="D6" s="22"/>
      <c r="E6" s="22"/>
      <c r="F6" s="22"/>
      <c r="G6" s="22"/>
      <c r="H6" s="22"/>
      <c r="I6" s="22"/>
      <c r="J6" s="22"/>
      <c r="K6" s="22"/>
      <c r="L6" s="22"/>
    </row>
    <row r="8" customFormat="false" ht="15.75" hidden="false" customHeight="true" outlineLevel="0" collapsed="false">
      <c r="B8" s="24" t="s">
        <v>56</v>
      </c>
      <c r="C8" s="24"/>
      <c r="D8" s="24"/>
      <c r="E8" s="24"/>
      <c r="F8" s="24"/>
      <c r="H8" s="25" t="s">
        <v>57</v>
      </c>
      <c r="I8" s="25"/>
      <c r="J8" s="25"/>
      <c r="K8" s="25"/>
      <c r="L8" s="25"/>
    </row>
    <row r="9" customFormat="false" ht="15" hidden="false" customHeight="true" outlineLevel="0" collapsed="false">
      <c r="B9" s="26" t="s">
        <v>58</v>
      </c>
      <c r="C9" s="26"/>
      <c r="D9" s="26"/>
      <c r="E9" s="26"/>
      <c r="F9" s="26"/>
      <c r="H9" s="22" t="s">
        <v>109</v>
      </c>
      <c r="I9" s="22"/>
      <c r="J9" s="22"/>
      <c r="K9" s="22"/>
      <c r="L9" s="22"/>
    </row>
    <row r="10" customFormat="false" ht="15" hidden="false" customHeight="true" outlineLevel="0" collapsed="false">
      <c r="B10" s="22" t="s">
        <v>110</v>
      </c>
      <c r="C10" s="22"/>
      <c r="D10" s="22"/>
      <c r="E10" s="22"/>
      <c r="F10" s="22"/>
      <c r="H10" s="22" t="s">
        <v>111</v>
      </c>
      <c r="I10" s="22"/>
      <c r="J10" s="22"/>
      <c r="K10" s="22"/>
      <c r="L10" s="22"/>
    </row>
    <row r="11" customFormat="false" ht="15" hidden="false" customHeight="true" outlineLevel="0" collapsed="false">
      <c r="B11" s="22" t="s">
        <v>112</v>
      </c>
      <c r="C11" s="22"/>
      <c r="D11" s="22"/>
      <c r="E11" s="22"/>
      <c r="F11" s="22"/>
      <c r="H11" s="22" t="s">
        <v>113</v>
      </c>
      <c r="I11" s="22"/>
      <c r="J11" s="22"/>
      <c r="K11" s="22"/>
      <c r="L11" s="22"/>
    </row>
    <row r="12" customFormat="false" ht="15" hidden="false" customHeight="true" outlineLevel="0" collapsed="false">
      <c r="B12" s="22" t="s">
        <v>114</v>
      </c>
      <c r="C12" s="22"/>
      <c r="D12" s="22"/>
      <c r="E12" s="22"/>
      <c r="F12" s="22"/>
    </row>
    <row r="13" customFormat="false" ht="28.5" hidden="false" customHeight="true" outlineLevel="0" collapsed="false">
      <c r="B13" s="27" t="s">
        <v>115</v>
      </c>
      <c r="C13" s="27"/>
      <c r="D13" s="27"/>
      <c r="E13" s="27"/>
      <c r="F13" s="27"/>
    </row>
    <row r="14" customFormat="false" ht="15" hidden="false" customHeight="true" outlineLevel="0" collapsed="false">
      <c r="B14" s="28" t="s">
        <v>116</v>
      </c>
      <c r="C14" s="28"/>
      <c r="D14" s="28"/>
      <c r="E14" s="28"/>
      <c r="F14" s="28"/>
    </row>
    <row r="15" customFormat="false" ht="15" hidden="false" customHeight="false" outlineLevel="0" collapsed="false">
      <c r="B15" s="28"/>
      <c r="C15" s="28"/>
      <c r="D15" s="28"/>
      <c r="E15" s="28"/>
      <c r="F15" s="28"/>
    </row>
    <row r="16" customFormat="false" ht="15" hidden="false" customHeight="false" outlineLevel="0" collapsed="false">
      <c r="B16" s="28"/>
      <c r="C16" s="28"/>
      <c r="D16" s="28"/>
      <c r="E16" s="28"/>
      <c r="F16" s="28"/>
    </row>
    <row r="17" customFormat="false" ht="15" hidden="false" customHeight="false" outlineLevel="0" collapsed="false">
      <c r="B17" s="28"/>
      <c r="C17" s="28"/>
      <c r="D17" s="28"/>
      <c r="E17" s="28"/>
      <c r="F17" s="28"/>
    </row>
    <row r="19" customFormat="false" ht="15.75" hidden="false" customHeight="true" outlineLevel="0" collapsed="false">
      <c r="B19" s="29" t="s">
        <v>67</v>
      </c>
      <c r="C19" s="29"/>
      <c r="D19" s="29"/>
      <c r="E19" s="29"/>
      <c r="F19" s="29"/>
      <c r="G19" s="29"/>
      <c r="H19" s="29"/>
      <c r="I19" s="29"/>
      <c r="J19" s="29"/>
      <c r="K19" s="29"/>
      <c r="L19" s="29"/>
    </row>
    <row r="20" customFormat="false" ht="31.5" hidden="false" customHeight="true" outlineLevel="0" collapsed="false">
      <c r="B20" s="30" t="s">
        <v>117</v>
      </c>
      <c r="C20" s="30"/>
      <c r="D20" s="30"/>
      <c r="E20" s="30"/>
      <c r="F20" s="30"/>
      <c r="G20" s="30"/>
      <c r="H20" s="30"/>
      <c r="I20" s="30"/>
      <c r="J20" s="30"/>
      <c r="K20" s="30"/>
      <c r="L20" s="30"/>
    </row>
    <row r="21" customFormat="false" ht="15" hidden="false" customHeight="true" outlineLevel="0" collapsed="false">
      <c r="B21" s="31" t="s">
        <v>69</v>
      </c>
      <c r="C21" s="31"/>
      <c r="D21" s="22" t="s">
        <v>118</v>
      </c>
      <c r="E21" s="22"/>
      <c r="F21" s="22"/>
      <c r="G21" s="22"/>
      <c r="H21" s="22"/>
      <c r="I21" s="22"/>
      <c r="J21" s="22"/>
      <c r="K21" s="22"/>
      <c r="L21" s="22"/>
    </row>
    <row r="22" customFormat="false" ht="28.5" hidden="false" customHeight="true" outlineLevel="0" collapsed="false">
      <c r="B22" s="31" t="s">
        <v>71</v>
      </c>
      <c r="C22" s="31"/>
      <c r="D22" s="22" t="s">
        <v>119</v>
      </c>
      <c r="E22" s="22"/>
      <c r="F22" s="22"/>
      <c r="G22" s="22"/>
      <c r="H22" s="22"/>
      <c r="I22" s="22"/>
      <c r="J22" s="22"/>
      <c r="K22" s="22"/>
      <c r="L22" s="22"/>
    </row>
    <row r="23" customFormat="false" ht="15" hidden="false" customHeight="true" outlineLevel="0" collapsed="false">
      <c r="B23" s="31" t="s">
        <v>73</v>
      </c>
      <c r="C23" s="31"/>
      <c r="D23" s="22" t="s">
        <v>120</v>
      </c>
      <c r="E23" s="22"/>
      <c r="F23" s="22"/>
      <c r="G23" s="22"/>
      <c r="H23" s="22"/>
      <c r="I23" s="22"/>
      <c r="J23" s="22"/>
      <c r="K23" s="22"/>
      <c r="L23" s="22"/>
    </row>
    <row r="24" customFormat="false" ht="15" hidden="false" customHeight="true" outlineLevel="0" collapsed="false">
      <c r="B24" s="31" t="s">
        <v>75</v>
      </c>
      <c r="C24" s="31"/>
      <c r="D24" s="22" t="s">
        <v>121</v>
      </c>
      <c r="E24" s="22"/>
      <c r="F24" s="22"/>
      <c r="G24" s="22"/>
      <c r="H24" s="22"/>
      <c r="I24" s="22"/>
      <c r="J24" s="22"/>
      <c r="K24" s="22"/>
      <c r="L24" s="22"/>
    </row>
    <row r="25" customFormat="false" ht="15" hidden="false" customHeight="true" outlineLevel="0" collapsed="false">
      <c r="B25" s="31" t="s">
        <v>77</v>
      </c>
      <c r="C25" s="31"/>
      <c r="D25" s="22" t="s">
        <v>122</v>
      </c>
      <c r="E25" s="22"/>
      <c r="F25" s="22"/>
      <c r="G25" s="22"/>
      <c r="H25" s="22"/>
      <c r="I25" s="22"/>
      <c r="J25" s="22"/>
      <c r="K25" s="22"/>
      <c r="L25" s="22"/>
    </row>
    <row r="26" customFormat="false" ht="15" hidden="false" customHeight="true" outlineLevel="0" collapsed="false">
      <c r="B26" s="28" t="s">
        <v>123</v>
      </c>
      <c r="C26" s="28"/>
      <c r="D26" s="28"/>
      <c r="E26" s="28"/>
      <c r="F26" s="28"/>
      <c r="G26" s="28"/>
      <c r="H26" s="28"/>
      <c r="I26" s="28"/>
      <c r="J26" s="28"/>
      <c r="K26" s="28"/>
      <c r="L26" s="28"/>
    </row>
    <row r="27" customFormat="false" ht="15" hidden="false" customHeight="false" outlineLevel="0" collapsed="false">
      <c r="B27" s="28"/>
      <c r="C27" s="28"/>
      <c r="D27" s="28"/>
      <c r="E27" s="28"/>
      <c r="F27" s="28"/>
      <c r="G27" s="28"/>
      <c r="H27" s="28"/>
      <c r="I27" s="28"/>
      <c r="J27" s="28"/>
      <c r="K27" s="28"/>
      <c r="L27" s="28"/>
    </row>
    <row r="28" customFormat="false" ht="15" hidden="false" customHeight="false" outlineLevel="0" collapsed="false">
      <c r="B28" s="28"/>
      <c r="C28" s="28"/>
      <c r="D28" s="28"/>
      <c r="E28" s="28"/>
      <c r="F28" s="28"/>
      <c r="G28" s="28"/>
      <c r="H28" s="28"/>
      <c r="I28" s="28"/>
      <c r="J28" s="28"/>
      <c r="K28" s="28"/>
      <c r="L28" s="28"/>
    </row>
    <row r="29" customFormat="false" ht="15" hidden="false" customHeight="false" outlineLevel="0" collapsed="false">
      <c r="B29" s="28"/>
      <c r="C29" s="28"/>
      <c r="D29" s="28"/>
      <c r="E29" s="28"/>
      <c r="F29" s="28"/>
      <c r="G29" s="28"/>
      <c r="H29" s="28"/>
      <c r="I29" s="28"/>
      <c r="J29" s="28"/>
      <c r="K29" s="28"/>
      <c r="L29" s="28"/>
    </row>
    <row r="31" customFormat="false" ht="28.5" hidden="false" customHeight="true" outlineLevel="0" collapsed="false">
      <c r="B31" s="24" t="s">
        <v>80</v>
      </c>
      <c r="C31" s="22" t="s">
        <v>124</v>
      </c>
      <c r="D31" s="22"/>
      <c r="E31" s="22"/>
      <c r="F31" s="23"/>
      <c r="G31" s="23"/>
      <c r="H31" s="23"/>
      <c r="I31" s="23"/>
      <c r="J31" s="23"/>
      <c r="K31" s="23"/>
      <c r="L31" s="23"/>
    </row>
    <row r="32" customFormat="false" ht="31.5" hidden="false" customHeight="true" outlineLevel="0" collapsed="false">
      <c r="B32" s="25" t="s">
        <v>82</v>
      </c>
      <c r="C32" s="32" t="s">
        <v>125</v>
      </c>
      <c r="D32" s="32"/>
      <c r="E32" s="32"/>
      <c r="F32" s="32"/>
      <c r="G32" s="32"/>
      <c r="H32" s="32"/>
      <c r="I32" s="32"/>
      <c r="J32" s="32"/>
      <c r="K32" s="32"/>
      <c r="L32" s="32"/>
    </row>
    <row r="33" customFormat="false" ht="15.75" hidden="false" customHeight="true" outlineLevel="0" collapsed="false">
      <c r="B33" s="18" t="s">
        <v>84</v>
      </c>
      <c r="C33" s="33" t="s">
        <v>126</v>
      </c>
      <c r="D33" s="33"/>
      <c r="E33" s="33"/>
      <c r="F33" s="33"/>
      <c r="G33" s="33"/>
      <c r="H33" s="33"/>
      <c r="I33" s="33"/>
      <c r="J33" s="33"/>
      <c r="K33" s="33"/>
      <c r="L33" s="33"/>
    </row>
    <row r="35" customFormat="false" ht="22.5" hidden="false" customHeight="true" outlineLevel="0" collapsed="false">
      <c r="B35" s="34" t="s">
        <v>86</v>
      </c>
      <c r="C35" s="34"/>
      <c r="D35" s="34"/>
      <c r="E35" s="34"/>
      <c r="F35" s="34"/>
      <c r="G35" s="34"/>
      <c r="H35" s="34"/>
      <c r="I35" s="34"/>
      <c r="J35" s="34"/>
      <c r="K35" s="34"/>
      <c r="L35" s="34"/>
    </row>
  </sheetData>
  <mergeCells count="35">
    <mergeCell ref="B2:B3"/>
    <mergeCell ref="C2:J3"/>
    <mergeCell ref="K2:L2"/>
    <mergeCell ref="K3:L3"/>
    <mergeCell ref="B5:C5"/>
    <mergeCell ref="D5:L6"/>
    <mergeCell ref="B6:C6"/>
    <mergeCell ref="B8:F8"/>
    <mergeCell ref="H8:L8"/>
    <mergeCell ref="B9:F9"/>
    <mergeCell ref="H9:L9"/>
    <mergeCell ref="B10:F10"/>
    <mergeCell ref="H10:L10"/>
    <mergeCell ref="B11:F11"/>
    <mergeCell ref="H11:L11"/>
    <mergeCell ref="B12:F12"/>
    <mergeCell ref="B13:F13"/>
    <mergeCell ref="B14:F17"/>
    <mergeCell ref="B19:L19"/>
    <mergeCell ref="B20:L20"/>
    <mergeCell ref="B21:C21"/>
    <mergeCell ref="D21:L21"/>
    <mergeCell ref="B22:C22"/>
    <mergeCell ref="D22:L22"/>
    <mergeCell ref="B23:C23"/>
    <mergeCell ref="D23:L23"/>
    <mergeCell ref="B24:C24"/>
    <mergeCell ref="D24:L24"/>
    <mergeCell ref="B25:C25"/>
    <mergeCell ref="D25:L25"/>
    <mergeCell ref="B26:L29"/>
    <mergeCell ref="C31:E31"/>
    <mergeCell ref="C32:L32"/>
    <mergeCell ref="C33:L33"/>
    <mergeCell ref="B35:L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6" min="2" style="0" width="13"/>
    <col collapsed="false" customWidth="true" hidden="false" outlineLevel="0" max="7" min="7" style="0" width="3"/>
    <col collapsed="false" customWidth="true" hidden="false" outlineLevel="0" max="12" min="8" style="0" width="13"/>
    <col collapsed="false" customWidth="true" hidden="false" outlineLevel="0" max="13" min="13" style="0" width="3"/>
  </cols>
  <sheetData>
    <row r="2" customFormat="false" ht="15" hidden="false" customHeight="true" outlineLevel="0" collapsed="false">
      <c r="B2" s="18" t="s">
        <v>6</v>
      </c>
      <c r="C2" s="19" t="s">
        <v>127</v>
      </c>
      <c r="D2" s="19"/>
      <c r="E2" s="19"/>
      <c r="F2" s="19"/>
      <c r="G2" s="19"/>
      <c r="H2" s="19"/>
      <c r="I2" s="19"/>
      <c r="J2" s="19"/>
      <c r="K2" s="20" t="s">
        <v>52</v>
      </c>
      <c r="L2" s="20"/>
    </row>
    <row r="3" customFormat="false" ht="25.5" hidden="false" customHeight="true" outlineLevel="0" collapsed="false">
      <c r="B3" s="18"/>
      <c r="C3" s="19"/>
      <c r="D3" s="19"/>
      <c r="E3" s="19"/>
      <c r="F3" s="19"/>
      <c r="G3" s="19"/>
      <c r="H3" s="19"/>
      <c r="I3" s="19"/>
      <c r="J3" s="19"/>
      <c r="K3" s="21" t="s">
        <v>53</v>
      </c>
      <c r="L3" s="21"/>
    </row>
    <row r="5" customFormat="false" ht="15.75" hidden="false" customHeight="true" outlineLevel="0" collapsed="false">
      <c r="B5" s="18" t="s">
        <v>54</v>
      </c>
      <c r="C5" s="18"/>
      <c r="D5" s="22" t="s">
        <v>128</v>
      </c>
      <c r="E5" s="22"/>
      <c r="F5" s="22"/>
      <c r="G5" s="22"/>
      <c r="H5" s="22"/>
      <c r="I5" s="22"/>
      <c r="J5" s="22"/>
      <c r="K5" s="22"/>
      <c r="L5" s="22"/>
    </row>
    <row r="6" customFormat="false" ht="15" hidden="false" customHeight="false" outlineLevel="0" collapsed="false">
      <c r="B6" s="23"/>
      <c r="C6" s="23"/>
      <c r="D6" s="22"/>
      <c r="E6" s="22"/>
      <c r="F6" s="22"/>
      <c r="G6" s="22"/>
      <c r="H6" s="22"/>
      <c r="I6" s="22"/>
      <c r="J6" s="22"/>
      <c r="K6" s="22"/>
      <c r="L6" s="22"/>
    </row>
    <row r="8" customFormat="false" ht="15.75" hidden="false" customHeight="true" outlineLevel="0" collapsed="false">
      <c r="B8" s="24" t="s">
        <v>56</v>
      </c>
      <c r="C8" s="24"/>
      <c r="D8" s="24"/>
      <c r="E8" s="24"/>
      <c r="F8" s="24"/>
      <c r="H8" s="25" t="s">
        <v>57</v>
      </c>
      <c r="I8" s="25"/>
      <c r="J8" s="25"/>
      <c r="K8" s="25"/>
      <c r="L8" s="25"/>
    </row>
    <row r="9" customFormat="false" ht="15" hidden="false" customHeight="true" outlineLevel="0" collapsed="false">
      <c r="B9" s="26" t="s">
        <v>58</v>
      </c>
      <c r="C9" s="26"/>
      <c r="D9" s="26"/>
      <c r="E9" s="26"/>
      <c r="F9" s="26"/>
      <c r="H9" s="22" t="s">
        <v>129</v>
      </c>
      <c r="I9" s="22"/>
      <c r="J9" s="22"/>
      <c r="K9" s="22"/>
      <c r="L9" s="22"/>
    </row>
    <row r="10" customFormat="false" ht="15" hidden="false" customHeight="true" outlineLevel="0" collapsed="false">
      <c r="B10" s="22" t="s">
        <v>130</v>
      </c>
      <c r="C10" s="22"/>
      <c r="D10" s="22"/>
      <c r="E10" s="22"/>
      <c r="F10" s="22"/>
      <c r="H10" s="22" t="s">
        <v>131</v>
      </c>
      <c r="I10" s="22"/>
      <c r="J10" s="22"/>
      <c r="K10" s="22"/>
      <c r="L10" s="22"/>
    </row>
    <row r="11" customFormat="false" ht="15" hidden="false" customHeight="true" outlineLevel="0" collapsed="false">
      <c r="B11" s="22" t="s">
        <v>132</v>
      </c>
      <c r="C11" s="22"/>
      <c r="D11" s="22"/>
      <c r="E11" s="22"/>
      <c r="F11" s="22"/>
      <c r="H11" s="22" t="s">
        <v>133</v>
      </c>
      <c r="I11" s="22"/>
      <c r="J11" s="22"/>
      <c r="K11" s="22"/>
      <c r="L11" s="22"/>
    </row>
    <row r="12" customFormat="false" ht="15" hidden="false" customHeight="true" outlineLevel="0" collapsed="false">
      <c r="B12" s="22" t="s">
        <v>134</v>
      </c>
      <c r="C12" s="22"/>
      <c r="D12" s="22"/>
      <c r="E12" s="22"/>
      <c r="F12" s="22"/>
    </row>
    <row r="13" customFormat="false" ht="43.5" hidden="false" customHeight="true" outlineLevel="0" collapsed="false">
      <c r="B13" s="27" t="s">
        <v>135</v>
      </c>
      <c r="C13" s="27"/>
      <c r="D13" s="27"/>
      <c r="E13" s="27"/>
      <c r="F13" s="27"/>
    </row>
    <row r="14" customFormat="false" ht="15" hidden="false" customHeight="true" outlineLevel="0" collapsed="false">
      <c r="B14" s="28" t="s">
        <v>136</v>
      </c>
      <c r="C14" s="28"/>
      <c r="D14" s="28"/>
      <c r="E14" s="28"/>
      <c r="F14" s="28"/>
    </row>
    <row r="15" customFormat="false" ht="15" hidden="false" customHeight="false" outlineLevel="0" collapsed="false">
      <c r="B15" s="28"/>
      <c r="C15" s="28"/>
      <c r="D15" s="28"/>
      <c r="E15" s="28"/>
      <c r="F15" s="28"/>
    </row>
    <row r="16" customFormat="false" ht="15" hidden="false" customHeight="false" outlineLevel="0" collapsed="false">
      <c r="B16" s="28"/>
      <c r="C16" s="28"/>
      <c r="D16" s="28"/>
      <c r="E16" s="28"/>
      <c r="F16" s="28"/>
    </row>
    <row r="17" customFormat="false" ht="15" hidden="false" customHeight="false" outlineLevel="0" collapsed="false">
      <c r="B17" s="28"/>
      <c r="C17" s="28"/>
      <c r="D17" s="28"/>
      <c r="E17" s="28"/>
      <c r="F17" s="28"/>
    </row>
    <row r="19" customFormat="false" ht="15.75" hidden="false" customHeight="true" outlineLevel="0" collapsed="false">
      <c r="B19" s="29" t="s">
        <v>67</v>
      </c>
      <c r="C19" s="29"/>
      <c r="D19" s="29"/>
      <c r="E19" s="29"/>
      <c r="F19" s="29"/>
      <c r="G19" s="29"/>
      <c r="H19" s="29"/>
      <c r="I19" s="29"/>
      <c r="J19" s="29"/>
      <c r="K19" s="29"/>
      <c r="L19" s="29"/>
    </row>
    <row r="20" customFormat="false" ht="15.75" hidden="false" customHeight="true" outlineLevel="0" collapsed="false">
      <c r="B20" s="30" t="s">
        <v>137</v>
      </c>
      <c r="C20" s="30"/>
      <c r="D20" s="30"/>
      <c r="E20" s="30"/>
      <c r="F20" s="30"/>
      <c r="G20" s="30"/>
      <c r="H20" s="30"/>
      <c r="I20" s="30"/>
      <c r="J20" s="30"/>
      <c r="K20" s="30"/>
      <c r="L20" s="30"/>
    </row>
    <row r="21" customFormat="false" ht="15" hidden="false" customHeight="true" outlineLevel="0" collapsed="false">
      <c r="B21" s="31" t="s">
        <v>69</v>
      </c>
      <c r="C21" s="31"/>
      <c r="D21" s="22" t="s">
        <v>138</v>
      </c>
      <c r="E21" s="22"/>
      <c r="F21" s="22"/>
      <c r="G21" s="22"/>
      <c r="H21" s="22"/>
      <c r="I21" s="22"/>
      <c r="J21" s="22"/>
      <c r="K21" s="22"/>
      <c r="L21" s="22"/>
    </row>
    <row r="22" customFormat="false" ht="15" hidden="false" customHeight="true" outlineLevel="0" collapsed="false">
      <c r="B22" s="31" t="s">
        <v>71</v>
      </c>
      <c r="C22" s="31"/>
      <c r="D22" s="22" t="s">
        <v>139</v>
      </c>
      <c r="E22" s="22"/>
      <c r="F22" s="22"/>
      <c r="G22" s="22"/>
      <c r="H22" s="22"/>
      <c r="I22" s="22"/>
      <c r="J22" s="22"/>
      <c r="K22" s="22"/>
      <c r="L22" s="22"/>
    </row>
    <row r="23" customFormat="false" ht="15" hidden="false" customHeight="true" outlineLevel="0" collapsed="false">
      <c r="B23" s="31" t="s">
        <v>73</v>
      </c>
      <c r="C23" s="31"/>
      <c r="D23" s="22" t="s">
        <v>140</v>
      </c>
      <c r="E23" s="22"/>
      <c r="F23" s="22"/>
      <c r="G23" s="22"/>
      <c r="H23" s="22"/>
      <c r="I23" s="22"/>
      <c r="J23" s="22"/>
      <c r="K23" s="22"/>
      <c r="L23" s="22"/>
    </row>
    <row r="24" customFormat="false" ht="15" hidden="false" customHeight="true" outlineLevel="0" collapsed="false">
      <c r="B24" s="31" t="s">
        <v>75</v>
      </c>
      <c r="C24" s="31"/>
      <c r="D24" s="22" t="s">
        <v>141</v>
      </c>
      <c r="E24" s="22"/>
      <c r="F24" s="22"/>
      <c r="G24" s="22"/>
      <c r="H24" s="22"/>
      <c r="I24" s="22"/>
      <c r="J24" s="22"/>
      <c r="K24" s="22"/>
      <c r="L24" s="22"/>
    </row>
    <row r="25" customFormat="false" ht="15" hidden="false" customHeight="true" outlineLevel="0" collapsed="false">
      <c r="B25" s="31" t="s">
        <v>77</v>
      </c>
      <c r="C25" s="31"/>
      <c r="D25" s="22" t="s">
        <v>142</v>
      </c>
      <c r="E25" s="22"/>
      <c r="F25" s="22"/>
      <c r="G25" s="22"/>
      <c r="H25" s="22"/>
      <c r="I25" s="22"/>
      <c r="J25" s="22"/>
      <c r="K25" s="22"/>
      <c r="L25" s="22"/>
    </row>
    <row r="26" customFormat="false" ht="15" hidden="false" customHeight="true" outlineLevel="0" collapsed="false">
      <c r="B26" s="28" t="s">
        <v>143</v>
      </c>
      <c r="C26" s="28"/>
      <c r="D26" s="28"/>
      <c r="E26" s="28"/>
      <c r="F26" s="28"/>
      <c r="G26" s="28"/>
      <c r="H26" s="28"/>
      <c r="I26" s="28"/>
      <c r="J26" s="28"/>
      <c r="K26" s="28"/>
      <c r="L26" s="28"/>
    </row>
    <row r="27" customFormat="false" ht="15" hidden="false" customHeight="false" outlineLevel="0" collapsed="false">
      <c r="B27" s="28"/>
      <c r="C27" s="28"/>
      <c r="D27" s="28"/>
      <c r="E27" s="28"/>
      <c r="F27" s="28"/>
      <c r="G27" s="28"/>
      <c r="H27" s="28"/>
      <c r="I27" s="28"/>
      <c r="J27" s="28"/>
      <c r="K27" s="28"/>
      <c r="L27" s="28"/>
    </row>
    <row r="28" customFormat="false" ht="15" hidden="false" customHeight="false" outlineLevel="0" collapsed="false">
      <c r="B28" s="28"/>
      <c r="C28" s="28"/>
      <c r="D28" s="28"/>
      <c r="E28" s="28"/>
      <c r="F28" s="28"/>
      <c r="G28" s="28"/>
      <c r="H28" s="28"/>
      <c r="I28" s="28"/>
      <c r="J28" s="28"/>
      <c r="K28" s="28"/>
      <c r="L28" s="28"/>
    </row>
    <row r="29" customFormat="false" ht="15" hidden="false" customHeight="false" outlineLevel="0" collapsed="false">
      <c r="B29" s="28"/>
      <c r="C29" s="28"/>
      <c r="D29" s="28"/>
      <c r="E29" s="28"/>
      <c r="F29" s="28"/>
      <c r="G29" s="28"/>
      <c r="H29" s="28"/>
      <c r="I29" s="28"/>
      <c r="J29" s="28"/>
      <c r="K29" s="28"/>
      <c r="L29" s="28"/>
    </row>
    <row r="31" customFormat="false" ht="15.75" hidden="false" customHeight="true" outlineLevel="0" collapsed="false">
      <c r="B31" s="24" t="s">
        <v>80</v>
      </c>
      <c r="C31" s="22" t="s">
        <v>144</v>
      </c>
      <c r="D31" s="22"/>
      <c r="E31" s="22"/>
      <c r="F31" s="23"/>
      <c r="G31" s="23"/>
      <c r="H31" s="23"/>
      <c r="I31" s="23"/>
      <c r="J31" s="23"/>
      <c r="K31" s="23"/>
      <c r="L31" s="23"/>
    </row>
    <row r="32" customFormat="false" ht="31.5" hidden="false" customHeight="true" outlineLevel="0" collapsed="false">
      <c r="B32" s="25" t="s">
        <v>82</v>
      </c>
      <c r="C32" s="32" t="s">
        <v>145</v>
      </c>
      <c r="D32" s="32"/>
      <c r="E32" s="32"/>
      <c r="F32" s="32"/>
      <c r="G32" s="32"/>
      <c r="H32" s="32"/>
      <c r="I32" s="32"/>
      <c r="J32" s="32"/>
      <c r="K32" s="32"/>
      <c r="L32" s="32"/>
    </row>
    <row r="33" customFormat="false" ht="15.75" hidden="false" customHeight="true" outlineLevel="0" collapsed="false">
      <c r="B33" s="18" t="s">
        <v>84</v>
      </c>
      <c r="C33" s="33" t="s">
        <v>146</v>
      </c>
      <c r="D33" s="33"/>
      <c r="E33" s="33"/>
      <c r="F33" s="33"/>
      <c r="G33" s="33"/>
      <c r="H33" s="33"/>
      <c r="I33" s="33"/>
      <c r="J33" s="33"/>
      <c r="K33" s="33"/>
      <c r="L33" s="33"/>
    </row>
    <row r="35" customFormat="false" ht="22.5" hidden="false" customHeight="true" outlineLevel="0" collapsed="false">
      <c r="B35" s="34" t="s">
        <v>86</v>
      </c>
      <c r="C35" s="34"/>
      <c r="D35" s="34"/>
      <c r="E35" s="34"/>
      <c r="F35" s="34"/>
      <c r="G35" s="34"/>
      <c r="H35" s="34"/>
      <c r="I35" s="34"/>
      <c r="J35" s="34"/>
      <c r="K35" s="34"/>
      <c r="L35" s="34"/>
    </row>
  </sheetData>
  <mergeCells count="35">
    <mergeCell ref="B2:B3"/>
    <mergeCell ref="C2:J3"/>
    <mergeCell ref="K2:L2"/>
    <mergeCell ref="K3:L3"/>
    <mergeCell ref="B5:C5"/>
    <mergeCell ref="D5:L6"/>
    <mergeCell ref="B6:C6"/>
    <mergeCell ref="B8:F8"/>
    <mergeCell ref="H8:L8"/>
    <mergeCell ref="B9:F9"/>
    <mergeCell ref="H9:L9"/>
    <mergeCell ref="B10:F10"/>
    <mergeCell ref="H10:L10"/>
    <mergeCell ref="B11:F11"/>
    <mergeCell ref="H11:L11"/>
    <mergeCell ref="B12:F12"/>
    <mergeCell ref="B13:F13"/>
    <mergeCell ref="B14:F17"/>
    <mergeCell ref="B19:L19"/>
    <mergeCell ref="B20:L20"/>
    <mergeCell ref="B21:C21"/>
    <mergeCell ref="D21:L21"/>
    <mergeCell ref="B22:C22"/>
    <mergeCell ref="D22:L22"/>
    <mergeCell ref="B23:C23"/>
    <mergeCell ref="D23:L23"/>
    <mergeCell ref="B24:C24"/>
    <mergeCell ref="D24:L24"/>
    <mergeCell ref="B25:C25"/>
    <mergeCell ref="D25:L25"/>
    <mergeCell ref="B26:L29"/>
    <mergeCell ref="C31:E31"/>
    <mergeCell ref="C32:L32"/>
    <mergeCell ref="C33:L33"/>
    <mergeCell ref="B35:L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18"/>
    <col collapsed="false" customWidth="true" hidden="false" outlineLevel="0" max="4" min="4" style="0" width="14"/>
    <col collapsed="false" customWidth="true" hidden="false" outlineLevel="0" max="5" min="5" style="0" width="8"/>
    <col collapsed="false" customWidth="true" hidden="false" outlineLevel="0" max="6" min="6" style="0" width="30"/>
    <col collapsed="false" customWidth="true" hidden="false" outlineLevel="0" max="7" min="7" style="0" width="95"/>
  </cols>
  <sheetData>
    <row r="1" customFormat="false" ht="31.5" hidden="false" customHeight="true" outlineLevel="0" collapsed="false">
      <c r="A1" s="6" t="s">
        <v>5</v>
      </c>
      <c r="B1" s="6" t="s">
        <v>147</v>
      </c>
      <c r="C1" s="6" t="s">
        <v>148</v>
      </c>
      <c r="D1" s="6" t="s">
        <v>149</v>
      </c>
      <c r="E1" s="6" t="s">
        <v>150</v>
      </c>
      <c r="F1" s="6" t="s">
        <v>151</v>
      </c>
      <c r="G1" s="6" t="s">
        <v>152</v>
      </c>
    </row>
    <row r="2" customFormat="false" ht="109.5" hidden="false" customHeight="true" outlineLevel="0" collapsed="false">
      <c r="A2" s="35" t="s">
        <v>21</v>
      </c>
      <c r="B2" s="9" t="s">
        <v>153</v>
      </c>
      <c r="C2" s="9" t="s">
        <v>154</v>
      </c>
      <c r="D2" s="9" t="s">
        <v>155</v>
      </c>
      <c r="E2" s="9" t="s">
        <v>156</v>
      </c>
      <c r="F2" s="9" t="s">
        <v>157</v>
      </c>
      <c r="G2" s="9" t="s">
        <v>158</v>
      </c>
    </row>
    <row r="3" customFormat="false" ht="109.5" hidden="false" customHeight="true" outlineLevel="0" collapsed="false">
      <c r="A3" s="35" t="s">
        <v>21</v>
      </c>
      <c r="B3" s="9" t="s">
        <v>159</v>
      </c>
      <c r="C3" s="9" t="s">
        <v>160</v>
      </c>
      <c r="D3" s="9" t="s">
        <v>161</v>
      </c>
      <c r="E3" s="9" t="s">
        <v>156</v>
      </c>
      <c r="F3" s="9" t="s">
        <v>162</v>
      </c>
      <c r="G3" s="9" t="s">
        <v>163</v>
      </c>
    </row>
    <row r="4" customFormat="false" ht="109.5" hidden="false" customHeight="true" outlineLevel="0" collapsed="false">
      <c r="A4" s="35" t="s">
        <v>21</v>
      </c>
      <c r="B4" s="9" t="s">
        <v>164</v>
      </c>
      <c r="C4" s="9" t="s">
        <v>160</v>
      </c>
      <c r="D4" s="9" t="s">
        <v>165</v>
      </c>
      <c r="E4" s="9" t="s">
        <v>166</v>
      </c>
      <c r="F4" s="9" t="s">
        <v>167</v>
      </c>
      <c r="G4" s="9" t="s">
        <v>168</v>
      </c>
    </row>
    <row r="5" customFormat="false" ht="109.5" hidden="false" customHeight="true" outlineLevel="0" collapsed="false">
      <c r="A5" s="35" t="s">
        <v>29</v>
      </c>
      <c r="B5" s="9" t="s">
        <v>153</v>
      </c>
      <c r="C5" s="9" t="s">
        <v>154</v>
      </c>
      <c r="D5" s="9" t="s">
        <v>155</v>
      </c>
      <c r="E5" s="9" t="s">
        <v>156</v>
      </c>
      <c r="F5" s="9" t="s">
        <v>169</v>
      </c>
      <c r="G5" s="9" t="s">
        <v>170</v>
      </c>
    </row>
    <row r="6" customFormat="false" ht="109.5" hidden="false" customHeight="true" outlineLevel="0" collapsed="false">
      <c r="A6" s="35" t="s">
        <v>29</v>
      </c>
      <c r="B6" s="9" t="s">
        <v>159</v>
      </c>
      <c r="C6" s="9" t="s">
        <v>160</v>
      </c>
      <c r="D6" s="9" t="s">
        <v>161</v>
      </c>
      <c r="E6" s="9" t="s">
        <v>156</v>
      </c>
      <c r="F6" s="9" t="s">
        <v>171</v>
      </c>
      <c r="G6" s="9" t="s">
        <v>172</v>
      </c>
    </row>
    <row r="7" customFormat="false" ht="109.5" hidden="false" customHeight="true" outlineLevel="0" collapsed="false">
      <c r="A7" s="35" t="s">
        <v>29</v>
      </c>
      <c r="B7" s="9" t="s">
        <v>164</v>
      </c>
      <c r="C7" s="9" t="s">
        <v>160</v>
      </c>
      <c r="D7" s="9" t="s">
        <v>173</v>
      </c>
      <c r="E7" s="9" t="s">
        <v>166</v>
      </c>
      <c r="F7" s="9" t="s">
        <v>174</v>
      </c>
      <c r="G7" s="9" t="s">
        <v>175</v>
      </c>
    </row>
    <row r="8" customFormat="false" ht="109.5" hidden="false" customHeight="true" outlineLevel="0" collapsed="false">
      <c r="A8" s="35" t="s">
        <v>35</v>
      </c>
      <c r="B8" s="9" t="s">
        <v>153</v>
      </c>
      <c r="C8" s="9" t="s">
        <v>154</v>
      </c>
      <c r="D8" s="9" t="s">
        <v>155</v>
      </c>
      <c r="E8" s="9" t="s">
        <v>156</v>
      </c>
      <c r="F8" s="9" t="s">
        <v>176</v>
      </c>
      <c r="G8" s="9" t="s">
        <v>177</v>
      </c>
    </row>
    <row r="9" customFormat="false" ht="109.5" hidden="false" customHeight="true" outlineLevel="0" collapsed="false">
      <c r="A9" s="35" t="s">
        <v>35</v>
      </c>
      <c r="B9" s="9" t="s">
        <v>159</v>
      </c>
      <c r="C9" s="9" t="s">
        <v>160</v>
      </c>
      <c r="D9" s="9" t="s">
        <v>161</v>
      </c>
      <c r="E9" s="9" t="s">
        <v>156</v>
      </c>
      <c r="F9" s="9" t="s">
        <v>178</v>
      </c>
      <c r="G9" s="9" t="s">
        <v>179</v>
      </c>
    </row>
    <row r="10" customFormat="false" ht="109.5" hidden="false" customHeight="true" outlineLevel="0" collapsed="false">
      <c r="A10" s="35" t="s">
        <v>35</v>
      </c>
      <c r="B10" s="9" t="s">
        <v>164</v>
      </c>
      <c r="C10" s="9" t="s">
        <v>160</v>
      </c>
      <c r="D10" s="9" t="s">
        <v>165</v>
      </c>
      <c r="E10" s="9" t="s">
        <v>166</v>
      </c>
      <c r="F10" s="9" t="s">
        <v>180</v>
      </c>
      <c r="G10" s="9" t="s">
        <v>181</v>
      </c>
    </row>
    <row r="11" customFormat="false" ht="109.5" hidden="false" customHeight="true" outlineLevel="0" collapsed="false">
      <c r="A11" s="35" t="s">
        <v>41</v>
      </c>
      <c r="B11" s="9" t="s">
        <v>153</v>
      </c>
      <c r="C11" s="9" t="s">
        <v>154</v>
      </c>
      <c r="D11" s="9" t="s">
        <v>155</v>
      </c>
      <c r="E11" s="9" t="s">
        <v>156</v>
      </c>
      <c r="F11" s="9" t="s">
        <v>182</v>
      </c>
      <c r="G11" s="9" t="s">
        <v>183</v>
      </c>
    </row>
    <row r="12" customFormat="false" ht="109.5" hidden="false" customHeight="true" outlineLevel="0" collapsed="false">
      <c r="A12" s="35" t="s">
        <v>41</v>
      </c>
      <c r="B12" s="9" t="s">
        <v>159</v>
      </c>
      <c r="C12" s="9" t="s">
        <v>160</v>
      </c>
      <c r="D12" s="9" t="s">
        <v>161</v>
      </c>
      <c r="E12" s="9" t="s">
        <v>156</v>
      </c>
      <c r="F12" s="9" t="s">
        <v>184</v>
      </c>
      <c r="G12" s="9" t="s">
        <v>185</v>
      </c>
    </row>
    <row r="13" customFormat="false" ht="109.5" hidden="false" customHeight="true" outlineLevel="0" collapsed="false">
      <c r="A13" s="35" t="s">
        <v>41</v>
      </c>
      <c r="B13" s="9" t="s">
        <v>164</v>
      </c>
      <c r="C13" s="9" t="s">
        <v>160</v>
      </c>
      <c r="D13" s="9" t="s">
        <v>165</v>
      </c>
      <c r="E13" s="9" t="s">
        <v>166</v>
      </c>
      <c r="F13" s="9" t="s">
        <v>186</v>
      </c>
      <c r="G13" s="9" t="s">
        <v>187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14"/>
    <col collapsed="false" customWidth="true" hidden="false" outlineLevel="0" max="4" min="4" style="0" width="30"/>
    <col collapsed="false" customWidth="true" hidden="false" outlineLevel="0" max="5" min="5" style="0" width="48"/>
    <col collapsed="false" customWidth="true" hidden="false" outlineLevel="0" max="6" min="6" style="0" width="26"/>
    <col collapsed="false" customWidth="true" hidden="false" outlineLevel="0" max="7" min="7" style="0" width="14"/>
  </cols>
  <sheetData>
    <row r="1" customFormat="false" ht="31.5" hidden="false" customHeight="true" outlineLevel="0" collapsed="false">
      <c r="A1" s="6" t="s">
        <v>5</v>
      </c>
      <c r="B1" s="6" t="s">
        <v>188</v>
      </c>
      <c r="C1" s="6" t="s">
        <v>189</v>
      </c>
      <c r="D1" s="6" t="s">
        <v>190</v>
      </c>
      <c r="E1" s="6" t="s">
        <v>191</v>
      </c>
      <c r="F1" s="6" t="s">
        <v>192</v>
      </c>
      <c r="G1" s="6" t="s">
        <v>193</v>
      </c>
    </row>
    <row r="2" customFormat="false" ht="42" hidden="false" customHeight="true" outlineLevel="0" collapsed="false">
      <c r="A2" s="35" t="s">
        <v>21</v>
      </c>
      <c r="B2" s="9" t="s">
        <v>194</v>
      </c>
      <c r="C2" s="9" t="s">
        <v>195</v>
      </c>
      <c r="D2" s="9" t="s">
        <v>196</v>
      </c>
      <c r="E2" s="9" t="s">
        <v>197</v>
      </c>
      <c r="F2" s="9" t="s">
        <v>198</v>
      </c>
      <c r="G2" s="9" t="s">
        <v>199</v>
      </c>
    </row>
    <row r="3" customFormat="false" ht="42" hidden="false" customHeight="true" outlineLevel="0" collapsed="false">
      <c r="A3" s="35" t="s">
        <v>21</v>
      </c>
      <c r="B3" s="9" t="s">
        <v>194</v>
      </c>
      <c r="C3" s="9" t="s">
        <v>200</v>
      </c>
      <c r="D3" s="9" t="s">
        <v>201</v>
      </c>
      <c r="E3" s="9" t="s">
        <v>202</v>
      </c>
      <c r="F3" s="9" t="s">
        <v>203</v>
      </c>
      <c r="G3" s="9" t="s">
        <v>204</v>
      </c>
    </row>
    <row r="4" customFormat="false" ht="42" hidden="false" customHeight="true" outlineLevel="0" collapsed="false">
      <c r="A4" s="35" t="s">
        <v>21</v>
      </c>
      <c r="B4" s="9" t="s">
        <v>205</v>
      </c>
      <c r="C4" s="36" t="s">
        <v>206</v>
      </c>
      <c r="D4" s="9" t="s">
        <v>207</v>
      </c>
      <c r="E4" s="9" t="s">
        <v>208</v>
      </c>
      <c r="F4" s="9" t="s">
        <v>209</v>
      </c>
      <c r="G4" s="9" t="s">
        <v>210</v>
      </c>
    </row>
    <row r="5" customFormat="false" ht="42" hidden="false" customHeight="true" outlineLevel="0" collapsed="false">
      <c r="A5" s="35" t="s">
        <v>21</v>
      </c>
      <c r="B5" s="9" t="s">
        <v>211</v>
      </c>
      <c r="C5" s="9" t="s">
        <v>212</v>
      </c>
      <c r="D5" s="9" t="s">
        <v>213</v>
      </c>
      <c r="E5" s="9" t="s">
        <v>214</v>
      </c>
      <c r="F5" s="9" t="s">
        <v>215</v>
      </c>
      <c r="G5" s="9" t="s">
        <v>199</v>
      </c>
    </row>
    <row r="6" customFormat="false" ht="42" hidden="false" customHeight="true" outlineLevel="0" collapsed="false">
      <c r="A6" s="35" t="s">
        <v>21</v>
      </c>
      <c r="B6" s="9" t="s">
        <v>216</v>
      </c>
      <c r="C6" s="9" t="s">
        <v>217</v>
      </c>
      <c r="D6" s="9" t="s">
        <v>218</v>
      </c>
      <c r="E6" s="9" t="s">
        <v>219</v>
      </c>
      <c r="F6" s="9" t="s">
        <v>220</v>
      </c>
      <c r="G6" s="9" t="s">
        <v>199</v>
      </c>
    </row>
    <row r="7" customFormat="false" ht="42" hidden="false" customHeight="true" outlineLevel="0" collapsed="false">
      <c r="A7" s="35" t="s">
        <v>21</v>
      </c>
      <c r="B7" s="9" t="s">
        <v>221</v>
      </c>
      <c r="C7" s="9" t="s">
        <v>222</v>
      </c>
      <c r="D7" s="9" t="s">
        <v>223</v>
      </c>
      <c r="E7" s="9" t="s">
        <v>224</v>
      </c>
      <c r="F7" s="9" t="s">
        <v>225</v>
      </c>
      <c r="G7" s="9" t="s">
        <v>199</v>
      </c>
    </row>
    <row r="8" customFormat="false" ht="42" hidden="false" customHeight="true" outlineLevel="0" collapsed="false">
      <c r="A8" s="35" t="s">
        <v>29</v>
      </c>
      <c r="B8" s="9" t="s">
        <v>226</v>
      </c>
      <c r="C8" s="9" t="s">
        <v>227</v>
      </c>
      <c r="D8" s="9" t="s">
        <v>228</v>
      </c>
      <c r="E8" s="9" t="s">
        <v>229</v>
      </c>
      <c r="F8" s="9" t="s">
        <v>230</v>
      </c>
      <c r="G8" s="9" t="s">
        <v>199</v>
      </c>
    </row>
    <row r="9" customFormat="false" ht="42" hidden="false" customHeight="true" outlineLevel="0" collapsed="false">
      <c r="A9" s="35" t="s">
        <v>29</v>
      </c>
      <c r="B9" s="9" t="s">
        <v>194</v>
      </c>
      <c r="C9" s="9" t="s">
        <v>200</v>
      </c>
      <c r="D9" s="9" t="s">
        <v>201</v>
      </c>
      <c r="E9" s="9" t="s">
        <v>231</v>
      </c>
      <c r="F9" s="9" t="s">
        <v>203</v>
      </c>
      <c r="G9" s="9" t="s">
        <v>204</v>
      </c>
    </row>
    <row r="10" customFormat="false" ht="42" hidden="false" customHeight="true" outlineLevel="0" collapsed="false">
      <c r="A10" s="35" t="s">
        <v>29</v>
      </c>
      <c r="B10" s="9" t="s">
        <v>205</v>
      </c>
      <c r="C10" s="36" t="s">
        <v>206</v>
      </c>
      <c r="D10" s="9" t="s">
        <v>207</v>
      </c>
      <c r="E10" s="9" t="s">
        <v>232</v>
      </c>
      <c r="F10" s="9" t="s">
        <v>209</v>
      </c>
      <c r="G10" s="9" t="s">
        <v>210</v>
      </c>
    </row>
    <row r="11" customFormat="false" ht="42" hidden="false" customHeight="true" outlineLevel="0" collapsed="false">
      <c r="A11" s="35" t="s">
        <v>29</v>
      </c>
      <c r="B11" s="9" t="s">
        <v>211</v>
      </c>
      <c r="C11" s="9" t="s">
        <v>212</v>
      </c>
      <c r="D11" s="9" t="s">
        <v>213</v>
      </c>
      <c r="E11" s="9" t="s">
        <v>233</v>
      </c>
      <c r="F11" s="9" t="s">
        <v>215</v>
      </c>
      <c r="G11" s="9" t="s">
        <v>199</v>
      </c>
    </row>
    <row r="12" customFormat="false" ht="42" hidden="false" customHeight="true" outlineLevel="0" collapsed="false">
      <c r="A12" s="35" t="s">
        <v>29</v>
      </c>
      <c r="B12" s="9" t="s">
        <v>216</v>
      </c>
      <c r="C12" s="9" t="s">
        <v>234</v>
      </c>
      <c r="D12" s="9" t="s">
        <v>235</v>
      </c>
      <c r="E12" s="9" t="s">
        <v>236</v>
      </c>
      <c r="F12" s="9" t="s">
        <v>237</v>
      </c>
      <c r="G12" s="9" t="s">
        <v>199</v>
      </c>
    </row>
    <row r="13" customFormat="false" ht="42" hidden="false" customHeight="true" outlineLevel="0" collapsed="false">
      <c r="A13" s="35" t="s">
        <v>29</v>
      </c>
      <c r="B13" s="9" t="s">
        <v>221</v>
      </c>
      <c r="C13" s="9" t="s">
        <v>238</v>
      </c>
      <c r="D13" s="9" t="s">
        <v>239</v>
      </c>
      <c r="E13" s="9" t="s">
        <v>240</v>
      </c>
      <c r="F13" s="9" t="s">
        <v>225</v>
      </c>
      <c r="G13" s="9" t="s">
        <v>199</v>
      </c>
    </row>
    <row r="14" customFormat="false" ht="42" hidden="false" customHeight="true" outlineLevel="0" collapsed="false">
      <c r="A14" s="35" t="s">
        <v>35</v>
      </c>
      <c r="B14" s="9" t="s">
        <v>194</v>
      </c>
      <c r="C14" s="9" t="s">
        <v>241</v>
      </c>
      <c r="D14" s="9" t="s">
        <v>242</v>
      </c>
      <c r="E14" s="9" t="s">
        <v>243</v>
      </c>
      <c r="F14" s="9" t="s">
        <v>244</v>
      </c>
      <c r="G14" s="9" t="s">
        <v>199</v>
      </c>
    </row>
    <row r="15" customFormat="false" ht="42" hidden="false" customHeight="true" outlineLevel="0" collapsed="false">
      <c r="A15" s="35" t="s">
        <v>35</v>
      </c>
      <c r="B15" s="9" t="s">
        <v>194</v>
      </c>
      <c r="C15" s="9" t="s">
        <v>200</v>
      </c>
      <c r="D15" s="9" t="s">
        <v>201</v>
      </c>
      <c r="E15" s="9" t="s">
        <v>245</v>
      </c>
      <c r="F15" s="9" t="s">
        <v>203</v>
      </c>
      <c r="G15" s="9" t="s">
        <v>204</v>
      </c>
    </row>
    <row r="16" customFormat="false" ht="42" hidden="false" customHeight="true" outlineLevel="0" collapsed="false">
      <c r="A16" s="35" t="s">
        <v>35</v>
      </c>
      <c r="B16" s="9" t="s">
        <v>205</v>
      </c>
      <c r="C16" s="36" t="s">
        <v>206</v>
      </c>
      <c r="D16" s="9" t="s">
        <v>207</v>
      </c>
      <c r="E16" s="9" t="s">
        <v>246</v>
      </c>
      <c r="F16" s="9" t="s">
        <v>209</v>
      </c>
      <c r="G16" s="9" t="s">
        <v>210</v>
      </c>
    </row>
    <row r="17" customFormat="false" ht="42" hidden="false" customHeight="true" outlineLevel="0" collapsed="false">
      <c r="A17" s="35" t="s">
        <v>35</v>
      </c>
      <c r="B17" s="9" t="s">
        <v>211</v>
      </c>
      <c r="C17" s="9" t="s">
        <v>247</v>
      </c>
      <c r="D17" s="9" t="s">
        <v>248</v>
      </c>
      <c r="E17" s="9" t="s">
        <v>249</v>
      </c>
      <c r="F17" s="9" t="s">
        <v>215</v>
      </c>
      <c r="G17" s="9" t="s">
        <v>199</v>
      </c>
    </row>
    <row r="18" customFormat="false" ht="42" hidden="false" customHeight="true" outlineLevel="0" collapsed="false">
      <c r="A18" s="35" t="s">
        <v>35</v>
      </c>
      <c r="B18" s="9" t="s">
        <v>216</v>
      </c>
      <c r="C18" s="9" t="s">
        <v>234</v>
      </c>
      <c r="D18" s="9" t="s">
        <v>250</v>
      </c>
      <c r="E18" s="9" t="s">
        <v>251</v>
      </c>
      <c r="F18" s="9" t="s">
        <v>237</v>
      </c>
      <c r="G18" s="9" t="s">
        <v>252</v>
      </c>
    </row>
    <row r="19" customFormat="false" ht="42" hidden="false" customHeight="true" outlineLevel="0" collapsed="false">
      <c r="A19" s="35" t="s">
        <v>35</v>
      </c>
      <c r="B19" s="9" t="s">
        <v>221</v>
      </c>
      <c r="C19" s="9" t="s">
        <v>253</v>
      </c>
      <c r="D19" s="9" t="s">
        <v>254</v>
      </c>
      <c r="E19" s="9" t="s">
        <v>255</v>
      </c>
      <c r="F19" s="9" t="s">
        <v>225</v>
      </c>
      <c r="G19" s="9" t="s">
        <v>199</v>
      </c>
    </row>
    <row r="20" customFormat="false" ht="42" hidden="false" customHeight="true" outlineLevel="0" collapsed="false">
      <c r="A20" s="35" t="s">
        <v>41</v>
      </c>
      <c r="B20" s="9" t="s">
        <v>221</v>
      </c>
      <c r="C20" s="9" t="s">
        <v>256</v>
      </c>
      <c r="D20" s="9" t="s">
        <v>257</v>
      </c>
      <c r="E20" s="9" t="s">
        <v>258</v>
      </c>
      <c r="F20" s="9" t="s">
        <v>225</v>
      </c>
      <c r="G20" s="9" t="s">
        <v>199</v>
      </c>
    </row>
    <row r="21" customFormat="false" ht="42" hidden="false" customHeight="true" outlineLevel="0" collapsed="false">
      <c r="A21" s="35" t="s">
        <v>41</v>
      </c>
      <c r="B21" s="9" t="s">
        <v>194</v>
      </c>
      <c r="C21" s="9" t="s">
        <v>200</v>
      </c>
      <c r="D21" s="9" t="s">
        <v>201</v>
      </c>
      <c r="E21" s="9" t="s">
        <v>259</v>
      </c>
      <c r="F21" s="9" t="s">
        <v>203</v>
      </c>
      <c r="G21" s="9" t="s">
        <v>204</v>
      </c>
    </row>
    <row r="22" customFormat="false" ht="42" hidden="false" customHeight="true" outlineLevel="0" collapsed="false">
      <c r="A22" s="35" t="s">
        <v>41</v>
      </c>
      <c r="B22" s="9" t="s">
        <v>205</v>
      </c>
      <c r="C22" s="36" t="s">
        <v>206</v>
      </c>
      <c r="D22" s="9" t="s">
        <v>207</v>
      </c>
      <c r="E22" s="9" t="s">
        <v>260</v>
      </c>
      <c r="F22" s="9" t="s">
        <v>209</v>
      </c>
      <c r="G22" s="9" t="s">
        <v>210</v>
      </c>
    </row>
    <row r="23" customFormat="false" ht="42" hidden="false" customHeight="true" outlineLevel="0" collapsed="false">
      <c r="A23" s="35" t="s">
        <v>41</v>
      </c>
      <c r="B23" s="9" t="s">
        <v>261</v>
      </c>
      <c r="C23" s="9" t="s">
        <v>262</v>
      </c>
      <c r="D23" s="9" t="s">
        <v>263</v>
      </c>
      <c r="E23" s="9" t="s">
        <v>264</v>
      </c>
      <c r="F23" s="9" t="s">
        <v>265</v>
      </c>
      <c r="G23" s="9" t="s">
        <v>199</v>
      </c>
    </row>
    <row r="24" customFormat="false" ht="42" hidden="false" customHeight="true" outlineLevel="0" collapsed="false">
      <c r="A24" s="35" t="s">
        <v>41</v>
      </c>
      <c r="B24" s="9" t="s">
        <v>211</v>
      </c>
      <c r="C24" s="9" t="s">
        <v>266</v>
      </c>
      <c r="D24" s="9" t="s">
        <v>267</v>
      </c>
      <c r="E24" s="9" t="s">
        <v>268</v>
      </c>
      <c r="F24" s="9" t="s">
        <v>215</v>
      </c>
      <c r="G24" s="9" t="s">
        <v>210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5" min="2" style="0" width="10"/>
  </cols>
  <sheetData>
    <row r="1" customFormat="false" ht="31.5" hidden="false" customHeight="true" outlineLevel="0" collapsed="false">
      <c r="A1" s="6" t="s">
        <v>269</v>
      </c>
      <c r="B1" s="6" t="s">
        <v>21</v>
      </c>
      <c r="C1" s="6" t="s">
        <v>29</v>
      </c>
      <c r="D1" s="6" t="s">
        <v>35</v>
      </c>
      <c r="E1" s="6" t="s">
        <v>41</v>
      </c>
    </row>
    <row r="2" customFormat="false" ht="15" hidden="false" customHeight="false" outlineLevel="0" collapsed="false">
      <c r="A2" s="37" t="s">
        <v>270</v>
      </c>
      <c r="B2" s="38"/>
      <c r="C2" s="38"/>
      <c r="D2" s="38"/>
      <c r="E2" s="38"/>
    </row>
    <row r="3" customFormat="false" ht="15" hidden="false" customHeight="false" outlineLevel="0" collapsed="false">
      <c r="A3" s="9" t="s">
        <v>271</v>
      </c>
      <c r="B3" s="4" t="n">
        <v>1</v>
      </c>
      <c r="C3" s="4" t="n">
        <v>1</v>
      </c>
      <c r="D3" s="4" t="n">
        <v>1</v>
      </c>
      <c r="E3" s="4" t="n">
        <v>1</v>
      </c>
    </row>
    <row r="4" customFormat="false" ht="15" hidden="false" customHeight="false" outlineLevel="0" collapsed="false">
      <c r="A4" s="9" t="s">
        <v>272</v>
      </c>
      <c r="B4" s="4" t="n">
        <v>1</v>
      </c>
      <c r="C4" s="4" t="n">
        <v>1</v>
      </c>
      <c r="D4" s="4" t="n">
        <v>1</v>
      </c>
      <c r="E4" s="4" t="n">
        <v>1</v>
      </c>
    </row>
    <row r="5" customFormat="false" ht="15" hidden="false" customHeight="false" outlineLevel="0" collapsed="false">
      <c r="A5" s="9" t="s">
        <v>273</v>
      </c>
      <c r="B5" s="4" t="n">
        <v>1</v>
      </c>
      <c r="C5" s="4" t="n">
        <v>1</v>
      </c>
      <c r="D5" s="4" t="n">
        <v>1</v>
      </c>
      <c r="E5" s="4" t="n">
        <v>1</v>
      </c>
    </row>
    <row r="6" customFormat="false" ht="15" hidden="false" customHeight="false" outlineLevel="0" collapsed="false">
      <c r="A6" s="9" t="s">
        <v>274</v>
      </c>
      <c r="B6" s="4" t="n">
        <v>1</v>
      </c>
      <c r="C6" s="4" t="n">
        <v>1</v>
      </c>
      <c r="D6" s="4" t="n">
        <v>1</v>
      </c>
      <c r="E6" s="4" t="n">
        <v>1</v>
      </c>
    </row>
    <row r="7" customFormat="false" ht="15" hidden="false" customHeight="false" outlineLevel="0" collapsed="false">
      <c r="A7" s="9" t="s">
        <v>275</v>
      </c>
      <c r="B7" s="4" t="n">
        <v>1</v>
      </c>
      <c r="C7" s="4" t="n">
        <v>1</v>
      </c>
      <c r="D7" s="4" t="n">
        <v>1</v>
      </c>
      <c r="E7" s="4" t="n">
        <v>1</v>
      </c>
    </row>
    <row r="8" customFormat="false" ht="15" hidden="false" customHeight="false" outlineLevel="0" collapsed="false">
      <c r="A8" s="9" t="s">
        <v>276</v>
      </c>
      <c r="B8" s="4" t="n">
        <v>1</v>
      </c>
      <c r="C8" s="4" t="n">
        <v>1</v>
      </c>
      <c r="D8" s="4" t="n">
        <v>1</v>
      </c>
      <c r="E8" s="4" t="n">
        <v>1</v>
      </c>
    </row>
    <row r="9" customFormat="false" ht="15" hidden="false" customHeight="false" outlineLevel="0" collapsed="false">
      <c r="A9" s="9" t="s">
        <v>277</v>
      </c>
      <c r="B9" s="4" t="n">
        <v>1</v>
      </c>
      <c r="C9" s="4" t="n">
        <v>1</v>
      </c>
      <c r="D9" s="4" t="n">
        <v>1</v>
      </c>
      <c r="E9" s="4" t="n">
        <v>1</v>
      </c>
    </row>
    <row r="10" customFormat="false" ht="15" hidden="false" customHeight="false" outlineLevel="0" collapsed="false">
      <c r="A10" s="9" t="s">
        <v>278</v>
      </c>
      <c r="B10" s="4" t="n">
        <v>1</v>
      </c>
      <c r="C10" s="4" t="n">
        <v>1</v>
      </c>
      <c r="D10" s="4" t="n">
        <v>1</v>
      </c>
      <c r="E10" s="4" t="n">
        <v>1</v>
      </c>
    </row>
    <row r="11" customFormat="false" ht="15" hidden="false" customHeight="false" outlineLevel="0" collapsed="false">
      <c r="A11" s="39" t="s">
        <v>48</v>
      </c>
      <c r="B11" s="10" t="n">
        <f aca="false">SUM(B3:B10)</f>
        <v>8</v>
      </c>
      <c r="C11" s="10" t="n">
        <f aca="false">SUM(C3:C10)</f>
        <v>8</v>
      </c>
      <c r="D11" s="10" t="n">
        <f aca="false">SUM(D3:D10)</f>
        <v>8</v>
      </c>
      <c r="E11" s="10" t="n">
        <f aca="false">SUM(E3:E10)</f>
        <v>8</v>
      </c>
    </row>
    <row r="13" customFormat="false" ht="15" hidden="false" customHeight="false" outlineLevel="0" collapsed="false">
      <c r="A13" s="37" t="s">
        <v>279</v>
      </c>
      <c r="B13" s="38"/>
      <c r="C13" s="38"/>
      <c r="D13" s="38"/>
      <c r="E13" s="38"/>
    </row>
    <row r="14" customFormat="false" ht="15" hidden="false" customHeight="false" outlineLevel="0" collapsed="false">
      <c r="A14" s="9" t="s">
        <v>280</v>
      </c>
      <c r="B14" s="4" t="n">
        <v>1</v>
      </c>
      <c r="C14" s="4" t="n">
        <v>1</v>
      </c>
      <c r="D14" s="4" t="n">
        <v>1</v>
      </c>
      <c r="E14" s="4" t="n">
        <v>1</v>
      </c>
    </row>
    <row r="15" customFormat="false" ht="15" hidden="false" customHeight="false" outlineLevel="0" collapsed="false">
      <c r="A15" s="36" t="s">
        <v>281</v>
      </c>
      <c r="B15" s="4" t="n">
        <v>1</v>
      </c>
      <c r="C15" s="4" t="n">
        <v>1</v>
      </c>
      <c r="D15" s="4" t="n">
        <v>1</v>
      </c>
      <c r="E15" s="4" t="n">
        <v>1</v>
      </c>
    </row>
    <row r="16" customFormat="false" ht="15" hidden="false" customHeight="false" outlineLevel="0" collapsed="false">
      <c r="A16" s="9" t="s">
        <v>282</v>
      </c>
      <c r="B16" s="4" t="n">
        <v>1</v>
      </c>
      <c r="C16" s="4" t="n">
        <v>1</v>
      </c>
      <c r="D16" s="4" t="n">
        <v>1</v>
      </c>
      <c r="E16" s="4" t="n">
        <v>1</v>
      </c>
    </row>
    <row r="17" customFormat="false" ht="15" hidden="false" customHeight="false" outlineLevel="0" collapsed="false">
      <c r="A17" s="9" t="s">
        <v>283</v>
      </c>
      <c r="B17" s="4" t="n">
        <v>1</v>
      </c>
      <c r="C17" s="4" t="n">
        <v>1</v>
      </c>
      <c r="D17" s="4" t="n">
        <v>1</v>
      </c>
      <c r="E17" s="4" t="n">
        <v>1</v>
      </c>
    </row>
    <row r="18" customFormat="false" ht="15" hidden="false" customHeight="false" outlineLevel="0" collapsed="false">
      <c r="A18" s="36" t="s">
        <v>284</v>
      </c>
      <c r="B18" s="4" t="n">
        <v>1</v>
      </c>
      <c r="C18" s="4" t="n">
        <v>1</v>
      </c>
      <c r="D18" s="4" t="n">
        <v>1</v>
      </c>
      <c r="E18" s="4" t="n">
        <v>1</v>
      </c>
    </row>
    <row r="19" customFormat="false" ht="15" hidden="false" customHeight="false" outlineLevel="0" collapsed="false">
      <c r="A19" s="9" t="s">
        <v>285</v>
      </c>
      <c r="B19" s="4" t="n">
        <v>1</v>
      </c>
      <c r="C19" s="4" t="n">
        <v>1</v>
      </c>
      <c r="D19" s="4" t="n">
        <v>1</v>
      </c>
      <c r="E19" s="4" t="n">
        <v>1</v>
      </c>
    </row>
    <row r="20" customFormat="false" ht="15" hidden="false" customHeight="false" outlineLevel="0" collapsed="false">
      <c r="A20" s="9" t="s">
        <v>286</v>
      </c>
      <c r="B20" s="4" t="n">
        <v>0</v>
      </c>
      <c r="C20" s="4" t="n">
        <v>0</v>
      </c>
      <c r="D20" s="4" t="n">
        <v>0</v>
      </c>
      <c r="E20" s="4" t="n">
        <v>0</v>
      </c>
    </row>
    <row r="21" customFormat="false" ht="15" hidden="false" customHeight="false" outlineLevel="0" collapsed="false">
      <c r="A21" s="39" t="s">
        <v>48</v>
      </c>
      <c r="B21" s="10" t="n">
        <f aca="false">SUM(B14:B20)</f>
        <v>6</v>
      </c>
      <c r="C21" s="10" t="n">
        <f aca="false">SUM(C14:C20)</f>
        <v>6</v>
      </c>
      <c r="D21" s="10" t="n">
        <f aca="false">SUM(D14:D20)</f>
        <v>6</v>
      </c>
      <c r="E21" s="10" t="n">
        <f aca="false">SUM(E14:E20)</f>
        <v>6</v>
      </c>
    </row>
    <row r="23" customFormat="false" ht="15" hidden="false" customHeight="false" outlineLevel="0" collapsed="false">
      <c r="A23" s="37" t="s">
        <v>287</v>
      </c>
      <c r="B23" s="38"/>
      <c r="C23" s="38"/>
      <c r="D23" s="38"/>
      <c r="E23" s="38"/>
    </row>
    <row r="24" customFormat="false" ht="15" hidden="false" customHeight="false" outlineLevel="0" collapsed="false">
      <c r="A24" s="9" t="s">
        <v>288</v>
      </c>
      <c r="B24" s="4" t="n">
        <v>1</v>
      </c>
      <c r="C24" s="4" t="n">
        <v>1</v>
      </c>
      <c r="D24" s="4" t="n">
        <v>1</v>
      </c>
      <c r="E24" s="4" t="n">
        <v>1</v>
      </c>
    </row>
    <row r="25" customFormat="false" ht="15" hidden="false" customHeight="false" outlineLevel="0" collapsed="false">
      <c r="A25" s="9" t="s">
        <v>289</v>
      </c>
      <c r="B25" s="4" t="n">
        <v>1</v>
      </c>
      <c r="C25" s="4" t="n">
        <v>1</v>
      </c>
      <c r="D25" s="4" t="n">
        <v>1</v>
      </c>
      <c r="E25" s="4" t="n">
        <v>1</v>
      </c>
    </row>
    <row r="26" customFormat="false" ht="15" hidden="false" customHeight="false" outlineLevel="0" collapsed="false">
      <c r="A26" s="9" t="s">
        <v>290</v>
      </c>
      <c r="B26" s="4" t="n">
        <v>1</v>
      </c>
      <c r="C26" s="4" t="n">
        <v>1</v>
      </c>
      <c r="D26" s="4" t="n">
        <v>1</v>
      </c>
      <c r="E26" s="4" t="n">
        <v>1</v>
      </c>
    </row>
    <row r="27" customFormat="false" ht="15" hidden="false" customHeight="false" outlineLevel="0" collapsed="false">
      <c r="A27" s="9" t="s">
        <v>291</v>
      </c>
      <c r="B27" s="4" t="n">
        <v>1</v>
      </c>
      <c r="C27" s="4" t="n">
        <v>1</v>
      </c>
      <c r="D27" s="4" t="n">
        <v>1</v>
      </c>
      <c r="E27" s="4" t="n">
        <v>1</v>
      </c>
    </row>
    <row r="28" customFormat="false" ht="15" hidden="false" customHeight="false" outlineLevel="0" collapsed="false">
      <c r="A28" s="9" t="s">
        <v>292</v>
      </c>
      <c r="B28" s="4" t="n">
        <v>1</v>
      </c>
      <c r="C28" s="4" t="n">
        <v>1</v>
      </c>
      <c r="D28" s="4" t="n">
        <v>1</v>
      </c>
      <c r="E28" s="4" t="n">
        <v>1</v>
      </c>
    </row>
    <row r="29" customFormat="false" ht="15" hidden="false" customHeight="false" outlineLevel="0" collapsed="false">
      <c r="A29" s="39" t="s">
        <v>48</v>
      </c>
      <c r="B29" s="10" t="n">
        <f aca="false">SUM(B24:B28)</f>
        <v>5</v>
      </c>
      <c r="C29" s="10" t="n">
        <f aca="false">SUM(C24:C28)</f>
        <v>5</v>
      </c>
      <c r="D29" s="10" t="n">
        <f aca="false">SUM(D24:D28)</f>
        <v>5</v>
      </c>
      <c r="E29" s="10" t="n">
        <f aca="false">SUM(E24:E28)</f>
        <v>5</v>
      </c>
    </row>
    <row r="31" customFormat="false" ht="15" hidden="false" customHeight="false" outlineLevel="0" collapsed="false">
      <c r="A31" s="40" t="s">
        <v>293</v>
      </c>
      <c r="B31" s="41" t="n">
        <f aca="false">B11+B21+B29</f>
        <v>19</v>
      </c>
      <c r="C31" s="41" t="n">
        <f aca="false">C11+C21+C29</f>
        <v>19</v>
      </c>
      <c r="D31" s="41" t="n">
        <f aca="false">D11+D21+D29</f>
        <v>19</v>
      </c>
      <c r="E31" s="41" t="n">
        <f aca="false">E11+E21+E29</f>
        <v>19</v>
      </c>
    </row>
    <row r="32" customFormat="false" ht="15" hidden="false" customHeight="false" outlineLevel="0" collapsed="false">
      <c r="A32" s="39" t="s">
        <v>294</v>
      </c>
      <c r="B32" s="8" t="str">
        <f aca="false">IF(B31&gt;=17,"ผ่าน","ไม่ผ่าน")</f>
        <v>ผ่าน</v>
      </c>
      <c r="C32" s="8" t="str">
        <f aca="false">IF(C31&gt;=17,"ผ่าน","ไม่ผ่าน")</f>
        <v>ผ่าน</v>
      </c>
      <c r="D32" s="8" t="str">
        <f aca="false">IF(D31&gt;=17,"ผ่าน","ไม่ผ่าน")</f>
        <v>ผ่าน</v>
      </c>
      <c r="E32" s="8" t="str">
        <f aca="false">IF(E31&gt;=17,"ผ่าน","ไม่ผ่าน")</f>
        <v>ผ่าน</v>
      </c>
    </row>
    <row r="34" customFormat="false" ht="15" hidden="false" customHeight="false" outlineLevel="0" collapsed="false">
      <c r="A34" s="42" t="s">
        <v>295</v>
      </c>
    </row>
  </sheetData>
  <conditionalFormatting sqref="B32:E32">
    <cfRule type="cellIs" priority="2" operator="equal" aboveAverage="0" equalAverage="0" bottom="0" percent="0" rank="0" text="" dxfId="0">
      <formula>"ผ่าน"</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2026-10-05T16:45:54Z</dcterms:created>
  <dc:creator>openpyxl</dc:creator>
  <dc:description/>
  <dc:language>en-US</dc:language>
  <cp:lastModifiedBy/>
  <dcterms:modified xsi:type="dcterms:W3CDTF">2026-10-05T16:45:54Z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