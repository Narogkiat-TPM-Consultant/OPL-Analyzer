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K1" sheetId="2" state="visible" r:id="rId4"/>
    <sheet name="P-K2" sheetId="3" state="visible" r:id="rId5"/>
    <sheet name="P-K3" sheetId="4" state="visible" r:id="rId6"/>
    <sheet name="P-K4" sheetId="5" state="visible" r:id="rId7"/>
    <sheet name="AI Image Prompts" sheetId="6" state="visible" r:id="rId8"/>
    <sheet name="Principles Trace" sheetId="7" state="visible" r:id="rId9"/>
    <sheet name="Self-Check"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<sst xmlns="http://schemas.openxmlformats.org/spreadsheetml/2006/main" count="480" uniqueCount="287">
  <si>
    <r>
      <rPr>
        <b val="true"/>
        <sz val="15"/>
        <color rgb="FFFFFFFF"/>
        <rFont val="Tahoma"/>
        <family val="0"/>
        <charset val="1"/>
      </rPr>
      <t xml:space="preserve">Kaizen Sheet — ระบบลม (</t>
    </r>
    <r>
      <rPr>
        <b val="true"/>
        <sz val="15"/>
        <color rgb="FFFFFFFF"/>
        <rFont val="WenQuanYi Zen Hei"/>
        <family val="2"/>
      </rPr>
      <t xml:space="preserve">改善 </t>
    </r>
    <r>
      <rPr>
        <b val="true"/>
        <sz val="15"/>
        <color rgb="FFFFFFFF"/>
        <rFont val="Tahoma"/>
        <family val="0"/>
        <charset val="1"/>
      </rPr>
      <t xml:space="preserve">= Kaizen · One-Page ฟอร์ม Denso)</t>
    </r>
  </si>
  <si>
    <t xml:space="preserve">จาก AM_Standard_Pneumatic_System.xlsx ชีท Kaizen_IoT_CBM · เกณฑ์: HTA/SOC และใช้เวลา &gt; 2 นาที · เวลาก่อนทำ = ประมาณการ [INFERENCE: M] ต้องจับเวลาจริง · ครั้ง/ปี 312 = 26 วัน × 12 เดือน [ASSUME] · ช่องเหลือง = กรอกได้</t>
  </si>
  <si>
    <t xml:space="preserve">ค่าแรง (บาท/ชม.)</t>
  </si>
  <si>
    <t xml:space="preserve">[DATA REQUIRED] ใส่แล้วคอลัมน์ ‘บาท/ปี’ คำนวณให้</t>
  </si>
  <si>
    <t xml:space="preserve">No.</t>
  </si>
  <si>
    <t xml:space="preserve">Kaizen</t>
  </si>
  <si>
    <t xml:space="preserve">ชื่อผลงาน</t>
  </si>
  <si>
    <t xml:space="preserve">จุดใน AM Standard</t>
  </si>
  <si>
    <t xml:space="preserve">HTA / SOC</t>
  </si>
  <si>
    <t xml:space="preserve">ก่อน (นาที/ครั้ง)</t>
  </si>
  <si>
    <t xml:space="preserve">หลัง (นาที/ครั้ง) [PROPOSED]</t>
  </si>
  <si>
    <t xml:space="preserve">ครั้ง/ปี</t>
  </si>
  <si>
    <t xml:space="preserve">ลดได้ (นาที/ปี)</t>
  </si>
  <si>
    <t xml:space="preserve">บาท/ปี (ค่าแรง)</t>
  </si>
  <si>
    <t xml:space="preserve">ค่าใช้จ่ายสูงสุด (บาท)</t>
  </si>
  <si>
    <t xml:space="preserve">Priority</t>
  </si>
  <si>
    <t xml:space="preserve">ผู้รับผิดชอบ</t>
  </si>
  <si>
    <t xml:space="preserve">Self-Check (/20)</t>
  </si>
  <si>
    <t xml:space="preserve">Confidence</t>
  </si>
  <si>
    <t xml:space="preserve">สถานะ</t>
  </si>
  <si>
    <t xml:space="preserve">วันเสร็จ</t>
  </si>
  <si>
    <t xml:space="preserve">P-K1</t>
  </si>
  <si>
    <r>
      <rPr>
        <sz val="9"/>
        <color rgb="FF000000"/>
        <rFont val="Tahoma"/>
        <family val="0"/>
        <charset val="1"/>
      </rPr>
      <t xml:space="preserve">Auto drain แบบลูกลอย </t>
    </r>
    <r>
      <rPr>
        <sz val="9"/>
        <color rgb="FF000000"/>
        <rFont val="WenQuanYi Zen Hei"/>
        <family val="2"/>
      </rPr>
      <t xml:space="preserve">『</t>
    </r>
    <r>
      <rPr>
        <sz val="9"/>
        <color rgb="FF000000"/>
        <rFont val="Tahoma"/>
        <family val="0"/>
        <charset val="1"/>
      </rPr>
      <t xml:space="preserve">ลูกลอยระบายเอง</t>
    </r>
    <r>
      <rPr>
        <sz val="9"/>
        <color rgb="FF000000"/>
        <rFont val="WenQuanYi Zen Hei"/>
        <family val="2"/>
      </rPr>
      <t xml:space="preserve">』</t>
    </r>
  </si>
  <si>
    <t xml:space="preserve">P03 (C)</t>
  </si>
  <si>
    <t xml:space="preserve">SOC + HTA</t>
  </si>
  <si>
    <t xml:space="preserve">P1</t>
  </si>
  <si>
    <t xml:space="preserve">PM</t>
  </si>
  <si>
    <t xml:space="preserve">Level 4 · กลไกลูกลอยมีเคสจริง (KRK-BLUE-282) + ต้นฉบับมี Auto drain</t>
  </si>
  <si>
    <t xml:space="preserve">วางแผน</t>
  </si>
  <si>
    <t xml:space="preserve">P-K2</t>
  </si>
  <si>
    <r>
      <rPr>
        <sz val="9"/>
        <color rgb="FF000000"/>
        <rFont val="Tahoma"/>
        <family val="0"/>
        <charset val="1"/>
      </rPr>
      <t xml:space="preserve">แผนที่ล่าลมรั่ว + Leak tag </t>
    </r>
    <r>
      <rPr>
        <sz val="9"/>
        <color rgb="FF000000"/>
        <rFont val="WenQuanYi Zen Hei"/>
        <family val="2"/>
      </rPr>
      <t xml:space="preserve">『</t>
    </r>
    <r>
      <rPr>
        <sz val="9"/>
        <color rgb="FF000000"/>
        <rFont val="Tahoma"/>
        <family val="0"/>
        <charset val="1"/>
      </rPr>
      <t xml:space="preserve">เจอครบ ไม่พลาดจุด</t>
    </r>
    <r>
      <rPr>
        <sz val="9"/>
        <color rgb="FF000000"/>
        <rFont val="WenQuanYi Zen Hei"/>
        <family val="2"/>
      </rPr>
      <t xml:space="preserve">』</t>
    </r>
  </si>
  <si>
    <t xml:space="preserve">P01 / P18 (I)</t>
  </si>
  <si>
    <t xml:space="preserve">HTA</t>
  </si>
  <si>
    <t xml:space="preserve">P2</t>
  </si>
  <si>
    <t xml:space="preserve">Leader</t>
  </si>
  <si>
    <t xml:space="preserve">Level 4 · วิธีหาลมรั่วด้วยน้ำสบู่ใช้แพร่หลาย</t>
  </si>
  <si>
    <t xml:space="preserve">P-K3</t>
  </si>
  <si>
    <r>
      <rPr>
        <sz val="9"/>
        <color rgb="FF000000"/>
        <rFont val="Tahoma"/>
        <family val="0"/>
        <charset val="1"/>
      </rPr>
      <t xml:space="preserve">Match mark Regulator · หน้าแปลน · ที่ยึดท่อ </t>
    </r>
    <r>
      <rPr>
        <sz val="9"/>
        <color rgb="FF000000"/>
        <rFont val="WenQuanYi Zen Hei"/>
        <family val="2"/>
      </rPr>
      <t xml:space="preserve">『</t>
    </r>
    <r>
      <rPr>
        <sz val="9"/>
        <color rgb="FF000000"/>
        <rFont val="Tahoma"/>
        <family val="0"/>
        <charset val="1"/>
      </rPr>
      <t xml:space="preserve">เส้นตรง = แน่น</t>
    </r>
    <r>
      <rPr>
        <sz val="9"/>
        <color rgb="FF000000"/>
        <rFont val="WenQuanYi Zen Hei"/>
        <family val="2"/>
      </rPr>
      <t xml:space="preserve">』</t>
    </r>
  </si>
  <si>
    <t xml:space="preserve">P06 / P02 (T)</t>
  </si>
  <si>
    <t xml:space="preserve">Operator</t>
  </si>
  <si>
    <t xml:space="preserve">Level 4 · วิธีมาตรฐานที่ใช้แพร่หลาย (PT-3)</t>
  </si>
  <si>
    <t xml:space="preserve">P-K4</t>
  </si>
  <si>
    <r>
      <rPr>
        <sz val="9"/>
        <color rgb="FF000000"/>
        <rFont val="Tahoma"/>
        <family val="0"/>
        <charset val="1"/>
      </rPr>
      <t xml:space="preserve">Drain separator ที่ท่อหลัก </t>
    </r>
    <r>
      <rPr>
        <sz val="9"/>
        <color rgb="FF000000"/>
        <rFont val="WenQuanYi Zen Hei"/>
        <family val="2"/>
      </rPr>
      <t xml:space="preserve">『</t>
    </r>
    <r>
      <rPr>
        <sz val="9"/>
        <color rgb="FF000000"/>
        <rFont val="Tahoma"/>
        <family val="0"/>
        <charset val="1"/>
      </rPr>
      <t xml:space="preserve">ตัดน้ำที่ต้นทาง</t>
    </r>
    <r>
      <rPr>
        <sz val="9"/>
        <color rgb="FF000000"/>
        <rFont val="WenQuanYi Zen Hei"/>
        <family val="2"/>
      </rPr>
      <t xml:space="preserve">』</t>
    </r>
  </si>
  <si>
    <t xml:space="preserve">P03 · ต้นทางระบบลม</t>
  </si>
  <si>
    <t xml:space="preserve">SOC</t>
  </si>
  <si>
    <t xml:space="preserve">[DATA REQUIRED]</t>
  </si>
  <si>
    <t xml:space="preserve">Engineer / Utility</t>
  </si>
  <si>
    <t xml:space="preserve">Level 3 · หลักวิศวกรรมทั่วไป ต้องออกแบบตามอัตราไหลจริง</t>
  </si>
  <si>
    <t xml:space="preserve">รวม</t>
  </si>
  <si>
    <t xml:space="preserve">ลดได้ (ชั่วโมง/ปี)</t>
  </si>
  <si>
    <t xml:space="preserve">ลำดับการอ่าน: One-Page ของแต่ละ Kaizen (ชีท P-K1 · P-K2 · P-K3 · P-K4) → AI Image Prompts (คัดลอกไปสร้างภาพ Before/After แล้ววางในช่องภาพของ One-Page) → Principles Trace → Self-Check · Yokoten ยังไม่มีวันที่ = คะแนน 0 จนกว่าหน้างานกรอก</t>
  </si>
  <si>
    <r>
      <rPr>
        <b val="true"/>
        <sz val="14"/>
        <color rgb="FF000000"/>
        <rFont val="Tahoma"/>
        <family val="0"/>
        <charset val="1"/>
      </rPr>
      <t xml:space="preserve">Auto drain แบบลูกลอย </t>
    </r>
    <r>
      <rPr>
        <b val="true"/>
        <sz val="14"/>
        <color rgb="FF000000"/>
        <rFont val="WenQuanYi Zen Hei"/>
        <family val="2"/>
      </rPr>
      <t xml:space="preserve">『</t>
    </r>
    <r>
      <rPr>
        <b val="true"/>
        <sz val="14"/>
        <color rgb="FF000000"/>
        <rFont val="Tahoma"/>
        <family val="0"/>
        <charset val="1"/>
      </rPr>
      <t xml:space="preserve">ลูกลอยระบายเอง</t>
    </r>
    <r>
      <rPr>
        <b val="true"/>
        <sz val="14"/>
        <color rgb="FF000000"/>
        <rFont val="WenQuanYi Zen Hei"/>
        <family val="2"/>
      </rPr>
      <t xml:space="preserve">』</t>
    </r>
  </si>
  <si>
    <t xml:space="preserve">AM Pillar · ระบบลม</t>
  </si>
  <si>
    <t xml:space="preserve">ทีม: ทีม AM (ระบุ)   วันที่: DD-MMM-YY</t>
  </si>
  <si>
    <t xml:space="preserve">รายละเอียดผลงาน</t>
  </si>
  <si>
    <r>
      <rPr>
        <sz val="10"/>
        <color rgb="FF000000"/>
        <rFont val="Tahoma"/>
        <family val="0"/>
        <charset val="1"/>
      </rPr>
      <t xml:space="preserve">ระบายน้ำในลมอัดที่ Air filter </t>
    </r>
    <r>
      <rPr>
        <sz val="10"/>
        <color rgb="FF000000"/>
        <rFont val="WenQuanYi Zen Hei"/>
        <family val="2"/>
      </rPr>
      <t xml:space="preserve">『</t>
    </r>
    <r>
      <rPr>
        <sz val="10"/>
        <color rgb="FF000000"/>
        <rFont val="Tahoma"/>
        <family val="0"/>
        <charset val="1"/>
      </rPr>
      <t xml:space="preserve">อัตโนมัติ!</t>
    </r>
    <r>
      <rPr>
        <sz val="10"/>
        <color rgb="FF000000"/>
        <rFont val="WenQuanYi Zen Hei"/>
        <family val="2"/>
      </rPr>
      <t xml:space="preserve">』『</t>
    </r>
    <r>
      <rPr>
        <sz val="10"/>
        <color rgb="FF000000"/>
        <rFont val="Tahoma"/>
        <family val="0"/>
        <charset val="1"/>
      </rPr>
      <t xml:space="preserve">ไม่ต้องก้มเปิดวาล์ว!</t>
    </r>
    <r>
      <rPr>
        <sz val="10"/>
        <color rgb="FF000000"/>
        <rFont val="WenQuanYi Zen Hei"/>
        <family val="2"/>
      </rPr>
      <t xml:space="preserve">』『</t>
    </r>
    <r>
      <rPr>
        <sz val="10"/>
        <color rgb="FF000000"/>
        <rFont val="Tahoma"/>
        <family val="0"/>
        <charset val="1"/>
      </rPr>
      <t xml:space="preserve">ไม่ลืม!</t>
    </r>
    <r>
      <rPr>
        <sz val="10"/>
        <color rgb="FF000000"/>
        <rFont val="WenQuanYi Zen Hei"/>
        <family val="2"/>
      </rPr>
      <t xml:space="preserve">』 </t>
    </r>
    <r>
      <rPr>
        <sz val="10"/>
        <color rgb="FF000000"/>
        <rFont val="Tahoma"/>
        <family val="0"/>
        <charset val="1"/>
      </rPr>
      <t xml:space="preserve">· ไม่ใช้ไฟ ใช้แรงลอยตัว + แรงดันลมในถ้วย · Confidence: Level 4</t>
    </r>
  </si>
  <si>
    <t xml:space="preserve">ก่อนไคเซ็น</t>
  </si>
  <si>
    <t xml:space="preserve">ความคิด (ไอเดีย) เพื่อไคเซ็น</t>
  </si>
  <si>
    <t xml:space="preserve">«การไหลของงาน»</t>
  </si>
  <si>
    <t xml:space="preserve">◆ อยากให้น้ำออกเองเมื่อถึงระดับ</t>
  </si>
  <si>
    <t xml:space="preserve">① ต้นกะ ก้มดูระดับน้ำในถ้วยกรอง (ถ้วยอยู่ต่ำ/หลังเครื่อง)</t>
  </si>
  <si>
    <t xml:space="preserve">◆ อยากไม่ต้องก้ม/เอื้อมใต้เครื่อง</t>
  </si>
  <si>
    <t xml:space="preserve">② เปิดวาล์ว Drain มือจนน้ำหมด</t>
  </si>
  <si>
    <t xml:space="preserve">◆ อยากไม่ลืม Drain ในวันที่ยุ่ง</t>
  </si>
  <si>
    <t xml:space="preserve">③ ปิดวาล์ว — ทำทุกวัน ทุกชุด FRL</t>
  </si>
  <si>
    <t xml:space="preserve">ปัญหาเชิงปริมาณ: ~1.5 นาที/ชุด/วัน [INFERENCE: M] × 4 ชุด [ASSUME] = 6 นาที/วัน · กลางคืนอุณหภูมิลด เกิดน้ำทุกวัน [FACT PDF p.44] · น้ำ → วาล์ว/กระบอกสูบทำงานผิด สนิม ลมรั่ว [FACT p.41–42]</t>
  </si>
  <si>
    <t xml:space="preserve">[วางภาพ Before — Prompt P-K1 B1 ในชีท 'AI Image Prompts']</t>
  </si>
  <si>
    <t xml:space="preserve">หลังไคเซ็น</t>
  </si>
  <si>
    <t xml:space="preserve">ลูกลอยในถ้วยกรองยกตัวเมื่อน้ำถึงระดับ → เปิดวาล์วระบาย แรงดันลมในถ้วยดันน้ำออกเอง → น้ำลด ลูกลอยตก วาล์วปิด (ไม่ใช้ไฟ) [FACT: Auto drain p.45, p.49] [PROPOSED: ติดตั้ง]</t>
  </si>
  <si>
    <r>
      <rPr>
        <b val="true"/>
        <sz val="9"/>
        <color rgb="FFFFFFFF"/>
        <rFont val="Tahoma"/>
        <family val="0"/>
        <charset val="1"/>
      </rPr>
      <t xml:space="preserve">Point ① </t>
    </r>
    <r>
      <rPr>
        <b val="true"/>
        <sz val="9"/>
        <color rgb="FFFFFFFF"/>
        <rFont val="WenQuanYi Zen Hei"/>
        <family val="2"/>
      </rPr>
      <t xml:space="preserve">力 </t>
    </r>
    <r>
      <rPr>
        <b val="true"/>
        <sz val="9"/>
        <color rgb="FFFFFFFF"/>
        <rFont val="Tahoma"/>
        <family val="0"/>
        <charset val="1"/>
      </rPr>
      <t xml:space="preserve">กำลัง</t>
    </r>
  </si>
  <si>
    <t xml:space="preserve">แรงลอยตัว (Buoyancy) ของลูกลอย + แรงดันลมที่มีอยู่ในถ้วย (Borrowed power) — ไม่มีแหล่งพลังงานใหม่</t>
  </si>
  <si>
    <r>
      <rPr>
        <b val="true"/>
        <sz val="9"/>
        <color rgb="FFFFFFFF"/>
        <rFont val="Tahoma"/>
        <family val="0"/>
        <charset val="1"/>
      </rPr>
      <t xml:space="preserve">Point ② </t>
    </r>
    <r>
      <rPr>
        <b val="true"/>
        <sz val="9"/>
        <color rgb="FFFFFFFF"/>
        <rFont val="WenQuanYi Zen Hei"/>
        <family val="2"/>
      </rPr>
      <t xml:space="preserve">構造 </t>
    </r>
    <r>
      <rPr>
        <b val="true"/>
        <sz val="9"/>
        <color rgb="FFFFFFFF"/>
        <rFont val="Tahoma"/>
        <family val="0"/>
        <charset val="1"/>
      </rPr>
      <t xml:space="preserve">โครงสร้าง</t>
    </r>
  </si>
  <si>
    <t xml:space="preserve">A ลูกลอย  B บ่าวาล์ว (Seat)  C ท่อระบายไปขวดรับน้ำ  D ขีดระดับน้ำสูงสุดบนถ้วย</t>
  </si>
  <si>
    <r>
      <rPr>
        <b val="true"/>
        <sz val="9"/>
        <color rgb="FFFFFFFF"/>
        <rFont val="Tahoma"/>
        <family val="0"/>
        <charset val="1"/>
      </rPr>
      <t xml:space="preserve">Point ③ </t>
    </r>
    <r>
      <rPr>
        <b val="true"/>
        <sz val="9"/>
        <color rgb="FFFFFFFF"/>
        <rFont val="WenQuanYi Zen Hei"/>
        <family val="2"/>
      </rPr>
      <t xml:space="preserve">原理 </t>
    </r>
    <r>
      <rPr>
        <b val="true"/>
        <sz val="9"/>
        <color rgb="FFFFFFFF"/>
        <rFont val="Tahoma"/>
        <family val="0"/>
        <charset val="1"/>
      </rPr>
      <t xml:space="preserve">หลักการ</t>
    </r>
  </si>
  <si>
    <t xml:space="preserve">ระดับน้ำเป็นทั้งสัญญาณและแรงขับในตัวเดียว (P2 + P12: ลูกลอยเป็น Dog) — หลักเดียวกับ KRK-BLUE-282</t>
  </si>
  <si>
    <t xml:space="preserve">Point ④ Fail-safe</t>
  </si>
  <si>
    <t xml:space="preserve">ลูกลอยค้าง/บ่าวาล์วสกปรก → น้ำเกินขีดระดับ เห็นได้ → เปิด Drain มือ + แจ้งช่าง · ตรวจ Auto drain ทุก 3 เดือน (p.45)</t>
  </si>
  <si>
    <r>
      <rPr>
        <b val="true"/>
        <sz val="9"/>
        <color rgb="FFFFFFFF"/>
        <rFont val="Tahoma"/>
        <family val="0"/>
        <charset val="1"/>
      </rPr>
      <t xml:space="preserve">Point ⑤ </t>
    </r>
    <r>
      <rPr>
        <b val="true"/>
        <sz val="9"/>
        <color rgb="FFFFFFFF"/>
        <rFont val="WenQuanYi Zen Hei"/>
        <family val="2"/>
      </rPr>
      <t xml:space="preserve">苦労点</t>
    </r>
  </si>
  <si>
    <t xml:space="preserve">(A) สนิม/สิ่งสกปรกติดบ่าวาล์วทำให้ปิดไม่สนิท → ลมรั่วต่อเนื่อง  (B) ท่อระบายต้องนำน้ำไปขวดรับ ไม่ปล่อยลงพื้นหรือใส่ชิ้นงาน</t>
  </si>
  <si>
    <t xml:space="preserve">[วางภาพ After — Prompt P-K1 A1 / A2 ในชีท 'AI Image Prompts']</t>
  </si>
  <si>
    <t xml:space="preserve">ค่าวัสดุ</t>
  </si>
  <si>
    <t xml:space="preserve">~1,500–3,000 บาท/ชุด [INFERENCE: M] · นำร่อง 1 ชุดก่อน</t>
  </si>
  <si>
    <t xml:space="preserve">ผลลัพธ์</t>
  </si>
  <si>
    <t xml:space="preserve">Drain รายวัน 6 → 0 นาที/วัน [PROPOSED] = 6 × 26 วัน × 12 เดือน = 1,872 นาที/ปี (31 ชม.) [ASSUME 4 ชุด] × ค่าแรง [DATA REQUIRED] · Q: น้ำไม่เข้าวาล์ว · S: ไม่ต้องก้มเอื้อมใต้เครื่อง</t>
  </si>
  <si>
    <t xml:space="preserve">Yokoten</t>
  </si>
  <si>
    <t xml:space="preserve">ถังเก็บลม / จุดต่ำของท่อหลัก (ระบุ Line จริง) — DD-MMM-YY | FRL ทุกเครื่องในไลน์ (ระบุ Line จริง) — DD-MMM-YY</t>
  </si>
  <si>
    <t xml:space="preserve">คำอธิบาย: ช่องพื้นเหลือง = ช่องกรอก/แก้ได้ | ข้อมูลจาก AM Standard (ชีท Kaizen_IoT_CBM) + เอกสาร JIPM-Solutions Equipment Skills Training | Tag: [FACT] = ต้นฉบับ (ระบุหน้า) / [INFERENCE: H/M/L] = อนุมาน / [PROPOSED] = เป้าหมาย / [DATA REQUIRED] = ข้อมูลโรงงาน / [ASSUME] = ค่าตัวอย่าง</t>
  </si>
  <si>
    <r>
      <rPr>
        <b val="true"/>
        <sz val="14"/>
        <color rgb="FF000000"/>
        <rFont val="Tahoma"/>
        <family val="0"/>
        <charset val="1"/>
      </rPr>
      <t xml:space="preserve">แผนที่ล่าลมรั่ว + Leak tag </t>
    </r>
    <r>
      <rPr>
        <b val="true"/>
        <sz val="14"/>
        <color rgb="FF000000"/>
        <rFont val="WenQuanYi Zen Hei"/>
        <family val="2"/>
      </rPr>
      <t xml:space="preserve">『</t>
    </r>
    <r>
      <rPr>
        <b val="true"/>
        <sz val="14"/>
        <color rgb="FF000000"/>
        <rFont val="Tahoma"/>
        <family val="0"/>
        <charset val="1"/>
      </rPr>
      <t xml:space="preserve">เจอครบ ไม่พลาดจุด</t>
    </r>
    <r>
      <rPr>
        <b val="true"/>
        <sz val="14"/>
        <color rgb="FF000000"/>
        <rFont val="WenQuanYi Zen Hei"/>
        <family val="2"/>
      </rPr>
      <t xml:space="preserve">』</t>
    </r>
  </si>
  <si>
    <r>
      <rPr>
        <sz val="10"/>
        <color rgb="FF000000"/>
        <rFont val="Tahoma"/>
        <family val="0"/>
        <charset val="1"/>
      </rPr>
      <t xml:space="preserve">หาลมรั่วตาม Table 2 </t>
    </r>
    <r>
      <rPr>
        <sz val="10"/>
        <color rgb="FF000000"/>
        <rFont val="WenQuanYi Zen Hei"/>
        <family val="2"/>
      </rPr>
      <t xml:space="preserve">『</t>
    </r>
    <r>
      <rPr>
        <sz val="10"/>
        <color rgb="FF000000"/>
        <rFont val="Tahoma"/>
        <family val="0"/>
        <charset val="1"/>
      </rPr>
      <t xml:space="preserve">เร็ว!</t>
    </r>
    <r>
      <rPr>
        <sz val="10"/>
        <color rgb="FF000000"/>
        <rFont val="WenQuanYi Zen Hei"/>
        <family val="2"/>
      </rPr>
      <t xml:space="preserve">』『</t>
    </r>
    <r>
      <rPr>
        <sz val="10"/>
        <color rgb="FF000000"/>
        <rFont val="Tahoma"/>
        <family val="0"/>
        <charset val="1"/>
      </rPr>
      <t xml:space="preserve">ครบทุกจุด!</t>
    </r>
    <r>
      <rPr>
        <sz val="10"/>
        <color rgb="FF000000"/>
        <rFont val="WenQuanYi Zen Hei"/>
        <family val="2"/>
      </rPr>
      <t xml:space="preserve">』『</t>
    </r>
    <r>
      <rPr>
        <sz val="10"/>
        <color rgb="FF000000"/>
        <rFont val="Tahoma"/>
        <family val="0"/>
        <charset val="1"/>
      </rPr>
      <t xml:space="preserve">เห็นผลบนบอร์ด!</t>
    </r>
    <r>
      <rPr>
        <sz val="10"/>
        <color rgb="FF000000"/>
        <rFont val="WenQuanYi Zen Hei"/>
        <family val="2"/>
      </rPr>
      <t xml:space="preserve">』 </t>
    </r>
    <r>
      <rPr>
        <sz val="10"/>
        <color rgb="FF000000"/>
        <rFont val="Tahoma"/>
        <family val="0"/>
        <charset val="1"/>
      </rPr>
      <t xml:space="preserve">· Confidence: Level 4</t>
    </r>
  </si>
  <si>
    <t xml:space="preserve">◆ อยากรู้ว่าต้องตรวจจุดไหนบ้างโดยไม่ต้องจำ</t>
  </si>
  <si>
    <t xml:space="preserve">① ช่วงไลน์หยุด เดินฟังเสียงลมรั่วทีละจุด</t>
  </si>
  <si>
    <t xml:space="preserve">◆ อยากเจอรั่วโดยไม่ต้องได้ยิน</t>
  </si>
  <si>
    <t xml:space="preserve">② พื้นที่เสียงดัง ได้ยินยาก</t>
  </si>
  <si>
    <t xml:space="preserve">◆ อยากเห็นจำนวนจุดรั่วลดลง</t>
  </si>
  <si>
    <t xml:space="preserve">③ จุดตรวจ 10+ จุดไม่มีลำดับ บางจุดถูกลืม</t>
  </si>
  <si>
    <t xml:space="preserve">ปัญหาเชิงปริมาณ: ~15 นาที/รอบ ทุก 3 เดือน [INFERENCE: M] · จุดตรวจ Table 2: ข้อต่อ 3 แบบ · Stop valve · สายยาง · Case/Drain cock · Relief hole · Lubricator · ช่องเติมน้ำมัน · Exhaust port · กระบอกสูบ [FACT PDF p.45]</t>
  </si>
  <si>
    <t xml:space="preserve">[วางภาพ Before — Prompt P-K2 B1 ในชีท 'AI Image Prompts']</t>
  </si>
  <si>
    <t xml:space="preserve">แผนที่ระบบลมติดหมายเลขจุดตามลำดับเส้นทางเดิน → ฉีดน้ำสบู่ (ฟองเกิดที่จุดรั่ว) → ติด Leak tag → นับจุดรั่วบนบอร์ด · พื้นที่ห้ามเปียกใช้ Ultrasonic leak detector [PROPOSED]</t>
  </si>
  <si>
    <t xml:space="preserve">ลมที่รั่วเองสร้างฟองสบู่ — ไม่ต้องสร้างพลังงานใหม่</t>
  </si>
  <si>
    <t xml:space="preserve">A แผนที่ระบบลมที่ FRL  B ป้ายหมายเลขจุดที่ข้อต่อ  C ขวดฉีดน้ำสบู่  D Leak tag  E บอร์ดนับจุดรั่ว</t>
  </si>
  <si>
    <t xml:space="preserve">ทำปรากฏการณ์ที่มองไม่เห็นให้เห็น (ฟอง) P2 + เส้นทางตรวจลำดับเดียว กันลืมจุด</t>
  </si>
  <si>
    <t xml:space="preserve">จุดที่ไม่ได้ตรวจ = ช่องในแผนที่ว่าง เห็นได้ · Tag ค้างเกิน 1 รอบ = แจ้งหัวหน้างาน</t>
  </si>
  <si>
    <t xml:space="preserve">(A) น้ำสบู่ใช้ไม่ได้กับจุดที่ห้ามเปียก (ไฟฟ้า/ชิ้นงาน) → ใช้ Ultrasonic  (B) วางเส้นทางให้จบในรอบเดียว ไม่เดินย้อน</t>
  </si>
  <si>
    <t xml:space="preserve">[วางภาพ After — Prompt P-K2 A1 / A2 ในชีท 'AI Image Prompts']</t>
  </si>
  <si>
    <t xml:space="preserve">น้ำสบู่ + ป้าย + Tag ~100–300 บาท [INFERENCE: M] · Ultrasonic ~5,000–20,000 บาท (ทางเลือก)</t>
  </si>
  <si>
    <t xml:space="preserve">15 → 5 นาที/รอบ [PROPOSED] = (15−5) × 4 รอบ/ปี = 40 นาที/ปี · ผลหลัก: หาเจอครบ → ซ่อมครบ → ลมรั่วลด ภาระ Compressor ลด [INFERENCE: H] (ค่าไฟลมรั่ว [DATA REQUIRED])</t>
  </si>
  <si>
    <t xml:space="preserve">ท่อลมหลักในอาคาร (ระบุ Line จริง) — DD-MMM-YY | ท่อน้ำ/ไอน้ำ ตามรายการตรวจรวม (p.44) (ระบุ Line จริง) — DD-MMM-YY</t>
  </si>
  <si>
    <r>
      <rPr>
        <b val="true"/>
        <sz val="14"/>
        <color rgb="FF000000"/>
        <rFont val="Tahoma"/>
        <family val="0"/>
        <charset val="1"/>
      </rPr>
      <t xml:space="preserve">Match mark Regulator · หน้าแปลน · ที่ยึดท่อ </t>
    </r>
    <r>
      <rPr>
        <b val="true"/>
        <sz val="14"/>
        <color rgb="FF000000"/>
        <rFont val="WenQuanYi Zen Hei"/>
        <family val="2"/>
      </rPr>
      <t xml:space="preserve">『</t>
    </r>
    <r>
      <rPr>
        <b val="true"/>
        <sz val="14"/>
        <color rgb="FF000000"/>
        <rFont val="Tahoma"/>
        <family val="0"/>
        <charset val="1"/>
      </rPr>
      <t xml:space="preserve">เส้นตรง = แน่น</t>
    </r>
    <r>
      <rPr>
        <b val="true"/>
        <sz val="14"/>
        <color rgb="FF000000"/>
        <rFont val="WenQuanYi Zen Hei"/>
        <family val="2"/>
      </rPr>
      <t xml:space="preserve">』</t>
    </r>
  </si>
  <si>
    <r>
      <rPr>
        <sz val="10"/>
        <color rgb="FF000000"/>
        <rFont val="Tahoma"/>
        <family val="0"/>
        <charset val="1"/>
      </rPr>
      <t xml:space="preserve">ตรวจ Lock nut Regulator และโบลต์หน้าแปลน/ที่ยึดท่อ </t>
    </r>
    <r>
      <rPr>
        <sz val="10"/>
        <color rgb="FF000000"/>
        <rFont val="WenQuanYi Zen Hei"/>
        <family val="2"/>
      </rPr>
      <t xml:space="preserve">『</t>
    </r>
    <r>
      <rPr>
        <sz val="10"/>
        <color rgb="FF000000"/>
        <rFont val="Tahoma"/>
        <family val="0"/>
        <charset val="1"/>
      </rPr>
      <t xml:space="preserve">ด้วยตา!</t>
    </r>
    <r>
      <rPr>
        <sz val="10"/>
        <color rgb="FF000000"/>
        <rFont val="WenQuanYi Zen Hei"/>
        <family val="2"/>
      </rPr>
      <t xml:space="preserve">』『</t>
    </r>
    <r>
      <rPr>
        <sz val="10"/>
        <color rgb="FF000000"/>
        <rFont val="Tahoma"/>
        <family val="0"/>
        <charset val="1"/>
      </rPr>
      <t xml:space="preserve">ใน 0.5 นาที!</t>
    </r>
    <r>
      <rPr>
        <sz val="10"/>
        <color rgb="FF000000"/>
        <rFont val="WenQuanYi Zen Hei"/>
        <family val="2"/>
      </rPr>
      <t xml:space="preserve">』 </t>
    </r>
    <r>
      <rPr>
        <sz val="10"/>
        <color rgb="FF000000"/>
        <rFont val="Tahoma"/>
        <family val="0"/>
        <charset val="1"/>
      </rPr>
      <t xml:space="preserve">คู่กับแถบเขียวที่เกจ (p.39) · Confidence: Level 4</t>
    </r>
  </si>
  <si>
    <t xml:space="preserve">◆ อยากรู้ว่า Lock nut คลายโดยไม่ต้องแตะ</t>
  </si>
  <si>
    <t xml:space="preserve">① ลองขัน Lock nut Regulator ด้วยมือ</t>
  </si>
  <si>
    <t xml:space="preserve">◆ อยากเห็นทุกจุดจากจุดยืนตรวจ</t>
  </si>
  <si>
    <t xml:space="preserve">② ลองขันโบลต์หน้าแปลน/ที่ยึดท่อใกล้เครื่อง</t>
  </si>
  <si>
    <t xml:space="preserve">◆ อยากรู้ว่าค่าตั้งเคลื่อนก่อนแรงกระบอกสูบผิด</t>
  </si>
  <si>
    <t xml:space="preserve">③ ดูเกจว่าค่าตั้งเคลื่อนหรือไม่ — ทำทุกวัน</t>
  </si>
  <si>
    <t xml:space="preserve">ปัญหาเชิงปริมาณ: ~2.5 นาที/วัน [INFERENCE: M] · แรงสั่นทำให้ Handle หมุนเอง ค่าตั้งเคลื่อน [FACT PDF p.39] · ตรวจหน้าแปลน/โบลต์/ที่ยึดท่อ ทุกวัน [FACT p.44]</t>
  </si>
  <si>
    <t xml:space="preserve">[วางภาพ Before — Prompt P-K3 B1 ในชีท 'AI Image Prompts']</t>
  </si>
  <si>
    <r>
      <rPr>
        <b val="true"/>
        <sz val="11"/>
        <color rgb="FF000000"/>
        <rFont val="Tahoma"/>
        <family val="0"/>
        <charset val="1"/>
      </rPr>
      <t xml:space="preserve">ขันแล้วลากเส้น Paint marker พาด Lock nut → ตัว Regulator และน็อตหน้าแปลน/ที่ยึดท่อ (</t>
    </r>
    <r>
      <rPr>
        <b val="true"/>
        <sz val="11"/>
        <color rgb="FF000000"/>
        <rFont val="WenQuanYi Zen Hei"/>
        <family val="2"/>
      </rPr>
      <t xml:space="preserve">合いマーク </t>
    </r>
    <r>
      <rPr>
        <b val="true"/>
        <sz val="11"/>
        <color rgb="FF000000"/>
        <rFont val="Tahoma"/>
        <family val="0"/>
        <charset val="1"/>
      </rPr>
      <t xml:space="preserve">= Match mark) + แถบเขียวที่ค่าตั้งบนเกจ (p.39) [PROPOSED]</t>
    </r>
  </si>
  <si>
    <t xml:space="preserve">ไม่มีแหล่งพลังงาน — การหมุนของน็อต/Handle เองคือตัวแสดงผล</t>
  </si>
  <si>
    <t xml:space="preserve">A Lock nut Regulator  B โบลต์หน้าแปลน  C น็อตที่ยึดท่อ  D แถบเขียวบนเกจที่ค่าตั้ง · เส้นสีพาดต่อเนื่อง</t>
  </si>
  <si>
    <t xml:space="preserve">ตรวจที่ปรากฏการณ์ (การหมุน) P2 + Visual P11 · เกจแถบเขียวยืนยันผลซ้ำอีกชั้น</t>
  </si>
  <si>
    <t xml:space="preserve">เส้นเยื้อง หรือเข็มออกนอกแถบเขียว = ผิดปกติ → ขันแน่น/แจ้งช่างตั้งค่าใหม่ · เส้นเลือน = ไม่ผ่านตรวจ</t>
  </si>
  <si>
    <t xml:space="preserve">(A) Regulator ต้องปรับค่าตั้งได้ → ลากเส้นใหม่ทุกครั้งโดยผู้ได้รับมอบหมาย และจดค่าตั้ง  (B) สีต้องไม่ร่อนจากแรงสั่น</t>
  </si>
  <si>
    <t xml:space="preserve">[วางภาพ After — Prompt P-K3 A1 / A2 ในชีท 'AI Image Prompts']</t>
  </si>
  <si>
    <t xml:space="preserve">~100–300 บาท (Paint marker + เทปสีเขียว) [INFERENCE: M]</t>
  </si>
  <si>
    <t xml:space="preserve">2.5 → 0.5 นาที/วัน [PROPOSED] = (2.5−0.5) × 26 วัน × 12 เดือน = 624 นาที/ปี × ค่าแรง [DATA REQUIRED] · Q: แรงกระบอกสูบคงที่</t>
  </si>
  <si>
    <t xml:space="preserve">Relief valve Lock nut ไฮดรอลิก (H-K2) (ระบุ Line จริง) — DD-MMM-YY | ปุ่มปรับ Speed controller (ระบุ Line จริง) — DD-MMM-YY</t>
  </si>
  <si>
    <r>
      <rPr>
        <b val="true"/>
        <sz val="14"/>
        <color rgb="FF000000"/>
        <rFont val="Tahoma"/>
        <family val="0"/>
        <charset val="1"/>
      </rPr>
      <t xml:space="preserve">Drain separator ที่ท่อหลัก </t>
    </r>
    <r>
      <rPr>
        <b val="true"/>
        <sz val="14"/>
        <color rgb="FF000000"/>
        <rFont val="WenQuanYi Zen Hei"/>
        <family val="2"/>
      </rPr>
      <t xml:space="preserve">『</t>
    </r>
    <r>
      <rPr>
        <b val="true"/>
        <sz val="14"/>
        <color rgb="FF000000"/>
        <rFont val="Tahoma"/>
        <family val="0"/>
        <charset val="1"/>
      </rPr>
      <t xml:space="preserve">ตัดน้ำที่ต้นทาง</t>
    </r>
    <r>
      <rPr>
        <b val="true"/>
        <sz val="14"/>
        <color rgb="FF000000"/>
        <rFont val="WenQuanYi Zen Hei"/>
        <family val="2"/>
      </rPr>
      <t xml:space="preserve">』</t>
    </r>
  </si>
  <si>
    <r>
      <rPr>
        <sz val="10"/>
        <color rgb="FF000000"/>
        <rFont val="Tahoma"/>
        <family val="0"/>
        <charset val="1"/>
      </rPr>
      <t xml:space="preserve">ลดน้ำในลมอัด </t>
    </r>
    <r>
      <rPr>
        <sz val="10"/>
        <color rgb="FF000000"/>
        <rFont val="WenQuanYi Zen Hei"/>
        <family val="2"/>
      </rPr>
      <t xml:space="preserve">『</t>
    </r>
    <r>
      <rPr>
        <sz val="10"/>
        <color rgb="FF000000"/>
        <rFont val="Tahoma"/>
        <family val="0"/>
        <charset val="1"/>
      </rPr>
      <t xml:space="preserve">ที่ต้นทาง!</t>
    </r>
    <r>
      <rPr>
        <sz val="10"/>
        <color rgb="FF000000"/>
        <rFont val="WenQuanYi Zen Hei"/>
        <family val="2"/>
      </rPr>
      <t xml:space="preserve">』 → </t>
    </r>
    <r>
      <rPr>
        <sz val="10"/>
        <color rgb="FF000000"/>
        <rFont val="Tahoma"/>
        <family val="0"/>
        <charset val="1"/>
      </rPr>
      <t xml:space="preserve">ทุกเครื่อง Drain น้อยลง วาล์ว/กระบอกสูบไม่เป็นสนิม · งาน EEM/Utility ไม่ใช่งาน AM · Confidence: Level 3</t>
    </r>
  </si>
  <si>
    <t xml:space="preserve">◆ อยากหยุดน้ำก่อนเข้าเครื่อง</t>
  </si>
  <si>
    <t xml:space="preserve">① น้ำมาจากลมอัดต้นทาง ทุกเครื่องต้อง Drain ทุกวัน</t>
  </si>
  <si>
    <t xml:space="preserve">◆ อยากให้ทุกเครื่องได้ประโยชน์จากจุดเดียว</t>
  </si>
  <si>
    <t xml:space="preserve">② น้ำ/สนิมจากท่อหลักเข้าวาล์วและกระบอกสูบ</t>
  </si>
  <si>
    <t xml:space="preserve">◆ อยากวัดได้ว่าแก้ได้ผล (น้ำในถ้วยลดลง)</t>
  </si>
  <si>
    <t xml:space="preserve">③ แก้ที่ปลายทางทีละเครื่อง (P-K1)</t>
  </si>
  <si>
    <t xml:space="preserve">ปัญหาเชิงปริมาณ: Drain ทุก FRL ทุกวัน [FACT PDF p.44] · น้ำ → สนิมในท่อ ท่อตัน วาล์วติด ลมรั่ว Water hammer [FACT p.42] · ปริมาณน้ำต่อวัน [DATA REQUIRED]</t>
  </si>
  <si>
    <t xml:space="preserve">[วางภาพ Before — Prompt P-K4 B1 ในชีท 'AI Image Prompts']</t>
  </si>
  <si>
    <t xml:space="preserve">ติด Drain separator หลังถังเก็บลม + Auto drain ที่จุดต่ำของท่อหลัก · ท่อแยกเข้าเครื่องต่อจากด้านบนของท่อหลัก [FACT p.36–37: Drain separator / Dehumidifier เป็นอุปกรณ์กรอง] [PROPOSED]</t>
  </si>
  <si>
    <t xml:space="preserve">ใช้การไหลของลมเอง (เปลี่ยนทิศ/ลดความเร็ว) แยกหยดน้ำ — Drain separator ไม่มีชิ้นส่วนเคลื่อนที่ [INFERENCE: H]</t>
  </si>
  <si>
    <t xml:space="preserve">A Drain separator หลังถังเก็บลม  B Auto drain ที่จุดต่ำ  C ท่อแยกเข้าเครื่องต่อจากด้านบนท่อหลัก [INFERENCE: H]  D ขวด/ถังรับน้ำ</t>
  </si>
  <si>
    <t xml:space="preserve">หยดน้ำหนักกว่าอากาศ เลี้ยวไม่ทันจึงแยกตกลง + ท่อลาดลงสู่จุด Drain [INFERENCE: H] · กำจัดที่ต้นเหตุ (Eliminate)</t>
  </si>
  <si>
    <t xml:space="preserve">Auto drain ต้นทางเสีย → FRL ที่เครื่องยังเป็นด่านที่ 2 · คงการตรวจ Drain รายวันไว้จนพิสูจน์ผลด้วยข้อมูล</t>
  </si>
  <si>
    <t xml:space="preserve">(A) เลือกขนาดตามอัตราไหลจริง ไม่ให้แรงดันตก (ท่อเล็ก/ยาว → แรงดันตก p.41)  (B) จุดติดตั้งต้องเข้าถึงง่าย ไม่สร้าง HTA ใหม่</t>
  </si>
  <si>
    <t xml:space="preserve">[วางภาพ After — Prompt P-K4 A1 / A2 ในชีท 'AI Image Prompts']</t>
  </si>
  <si>
    <t xml:space="preserve">[DATA REQUIRED] ตามขนาดท่อ/อัตราไหล — อาจเกิน 5,000 บาท → เสนอเป็นงบ EEM/Utility</t>
  </si>
  <si>
    <t xml:space="preserve">วัดผล: ปริมาณน้ำที่ Drain ต่อวันที่ FRL ก่อน/หลัง [DATA REQUIRED] · เป้า: Drain รายวันเปลี่ยนเป็นตรวจตามรอบ [PROPOSED] · Q: วาล์ว/กระบอกสูบสนิมน้อยลง (p.42) · ต้องมี Baseline ก่อนคำนวณเงิน</t>
  </si>
  <si>
    <t xml:space="preserve">ระบบลมอาคารอื่น (ระบุ Line จริง) — DD-MMM-YY | ห้อง Compressor ทุกชุด (ระบุ Line จริง) — DD-MMM-YY</t>
  </si>
  <si>
    <t xml:space="preserve">ภาพ</t>
  </si>
  <si>
    <t xml:space="preserve">Style</t>
  </si>
  <si>
    <t xml:space="preserve">Viewpoint</t>
  </si>
  <si>
    <t xml:space="preserve">Aspect</t>
  </si>
  <si>
    <t xml:space="preserve">หลักการที่ฝังในภาพ</t>
  </si>
  <si>
    <t xml:space="preserve">Prompt (GPT Image 2.0 — คัดลอกไปใช้ได้ทันที)</t>
  </si>
  <si>
    <t xml:space="preserve">B1 Before</t>
  </si>
  <si>
    <t xml:space="preserve">A Kaizen Cartoon</t>
  </si>
  <si>
    <t xml:space="preserve">2D side view</t>
  </si>
  <si>
    <t xml:space="preserve">3:2</t>
  </si>
  <si>
    <t xml:space="preserve">daily manual draining at a low, hard-to-reach bowl</t>
  </si>
  <si>
    <t xml:space="preserve">Clean Japanese kaizen training manual illustration, simple line art, round-headed worker character, flat 2D side view. A worker kneeling and reaching under a machine frame to open the manual drain valve at the bottom of an air filter bowl full of water, water splashing into a small bucket, tired face with sweat drops. Caption box: '1.5 min per FRL per day x 4 sets'. Red X on the kneeling posture. Limited palette: 70% white-gray, 25% steel blue-gray, 5% red accent only on the kneeling posture. White background, no photorealism, no text other than the labels specified.</t>
  </si>
  <si>
    <t xml:space="preserve">A1 After Overview</t>
  </si>
  <si>
    <t xml:space="preserve">B Technical Textbook</t>
  </si>
  <si>
    <t xml:space="preserve">Isometric</t>
  </si>
  <si>
    <t xml:space="preserve">float rises with the water level and opens the drain; air pressure in the bowl pushes the water out</t>
  </si>
  <si>
    <t xml:space="preserve">Japanese engineering textbook diagram, clear black outlines, flat gray fills, isometric three-quarter view. An air filter, regulator and lubricator set mounted on a machine, the filter bowl fitted with a float-type auto drain and a clear hose leading down to a collection bottle on the floor. A bold arrow shows water pushed out through the hose by the air pressure inside the bowl. Component labels with leader lines: A = float, B = valve seat, C = drain hose, D = collection bottle, E = maximum water level mark. Limited palette: 70% white-gray, 25% steel blue-gray, 5% orange accent only on the float. White background, no photorealism, no text other than the labels specified.</t>
  </si>
  <si>
    <t xml:space="preserve">A2 Point Close-up</t>
  </si>
  <si>
    <t xml:space="preserve">Cross-section</t>
  </si>
  <si>
    <t xml:space="preserve">1:1</t>
  </si>
  <si>
    <t xml:space="preserve">buoyancy lifts the float off the seat; falling level re-seats it (no electricity)</t>
  </si>
  <si>
    <t xml:space="preserve">Cutaway cross-section technical diagram, square format, two states side by side. Left: low water level, float resting on the valve seat, outlet closed. Right: water level high, float lifted by buoyancy, seat open, water flowing out of the outlet pushed by compressed air above. Upward straight arrow on the float, downward arrows on the air pressure, small flow arrows at the outlet. Labels: A = float, B = seat, C = outlet, D = compressed air, E = water. Hatching on cut surfaces. Limited palette: 70% white-gray, 25% steel blue-gray, 5% orange accent only on the open seat in the right panel. White background, no photorealism, no text other than the labels specified.</t>
  </si>
  <si>
    <t xml:space="preserve">Top view</t>
  </si>
  <si>
    <t xml:space="preserve">searching leaks by ear without a route</t>
  </si>
  <si>
    <t xml:space="preserve">Clean Japanese kaizen training manual illustration, simple line art, round-headed worker character, top-down floor plan view of a machine area with compressed-air pipes, valves and cylinders. A worker with a hand cupped to the ear wanders along a tangled dashed walking path that crosses itself, noise lines from machines, confused face. Several leak points marked with small hiss symbols are missed by the path. Caption box: '15 min per round; leaks hard to hear'. Red X on the tangled path. Limited palette: 70% white-gray, 25% steel blue-gray, 5% red accent only on the missed leak symbols. White background, no photorealism, no text other than the labels specified.</t>
  </si>
  <si>
    <t xml:space="preserve">a numbered route covers every Table 2 point once; soap bubbles show leaks</t>
  </si>
  <si>
    <t xml:space="preserve">Japanese engineering textbook diagram, clear black outlines, flat gray fills, top-down floor plan view. The same machine area with a single clean dashed route visiting numbered circles 1 to 10 at pipe fittings, stop valve, hose, filter case, regulator relief hole, lubricator, valve exhaust port and cylinder. A map board at the filter-regulator-lubricator set shows the same numbers. At point 6 soap bubbles mark a leak with a hanging tag. Component labels: A = map board, B = point number tag, C = soap spray bottle, D = leak tag, E = leak count board. Limited palette: 70% white-gray, 25% steel blue-gray, 5% orange accent only on the bubbles and tag at point 6. White background, no photorealism, no text other than the labels specified.</t>
  </si>
  <si>
    <t xml:space="preserve">escaping air through a soap film forms growing bubbles exactly at the leak</t>
  </si>
  <si>
    <t xml:space="preserve">Technical diagram, square format, 2D side view of a threaded pipe fitting sprayed with soapy water. Small growing bubbles form at one thread gap where air escapes; a thin arrow shows air leaving the gap. A paper leak tag hangs on the pipe with a number. Labels: A = fitting, B = thread gap, C = soap bubbles, D = leak tag. Limited palette: 70% white-gray, 25% steel blue-gray, 5% orange accent only on the bubbles. White background, no photorealism, no text other than the labels specified.</t>
  </si>
  <si>
    <t xml:space="preserve">checking lock nut and flange bolts by hand every day</t>
  </si>
  <si>
    <t xml:space="preserve">Clean Japanese kaizen training manual illustration, simple line art, round-headed worker character, flat 2D side view. A worker twisting the lock nut under the handle of an air regulator with fingers, then checking flange bolts and pipe clamp nuts nearby with a wrench, vibration lines on the machine, unsure face. Caption box: '2.5 min per day; vibration turns the handle by itself'. Red X on the handle area. Limited palette: 70% white-gray, 25% steel blue-gray, 5% red accent only on the regulator handle. White background, no photorealism, no text other than the labels specified.</t>
  </si>
  <si>
    <t xml:space="preserve">match marks across nut and body plus a green band on the gauge make loosening and set-point drift visible</t>
  </si>
  <si>
    <t xml:space="preserve">Japanese engineering textbook diagram, clear black outlines, flat gray fills, isometric three-quarter view. An air filter, regulator and lubricator set with a pressure gauge showing a green band at the set pressure; a straight yellow paint line runs across the regulator lock nut and body; flange bolts and pipe clamp nuts on the nearby pipe carry the same straight lines. Component labels with leader lines: A = regulator lock nut, B = flange bolts, C = pipe clamp nut, D = green band on gauge. An eye symbol shows inspection from the aisle. Limited palette: 70% white-gray, 25% steel blue-gray, 5% orange accent only on the green band and the paint lines. White background, no photorealism, no text other than the labels specified.</t>
  </si>
  <si>
    <t xml:space="preserve">handle rotation moves the paint segment and the needle leaves the green band together</t>
  </si>
  <si>
    <t xml:space="preserve">Technical diagram, square format, 2D side view. Left panel 'OK': regulator lock nut with paint line straight, gauge needle inside the green band. Right panel 'NG': lock nut and handle rotated by vibration (small curved arrow), paint segment offset, gauge needle moved outside the green band. Labels: A = handle, B = lock nut, C = paint line, D = gauge, E = green band. Flat grays. Limited palette: 70% white-gray, 25% steel blue-gray, 5% orange accent only on the offset segment and the needle in the NG panel. White background, no photorealism, no text other than the labels specified.</t>
  </si>
  <si>
    <t xml:space="preserve">wet compressed air from the main line forces daily draining at every machine</t>
  </si>
  <si>
    <t xml:space="preserve">Clean Japanese kaizen training manual illustration, simple line art, round-headed worker character, flat 2D side view. A compressor and receiver tank on the left feeding a long main air pipe with water droplets inside, branch pipes dropping to three machines, each with a filter bowl full of water and a worker draining it, rust flakes in a valve inset. Caption box: 'every FRL drained every day'. Red X on the water entering the branches. Limited palette: 70% white-gray, 25% steel blue-gray, 5% red accent only on the water droplets in the branches. White background, no photorealism, no text other than the labels specified.</t>
  </si>
  <si>
    <t xml:space="preserve">a drain separator removes water at the source; branches take air from the top of a sloped main line</t>
  </si>
  <si>
    <t xml:space="preserve">Japanese engineering textbook diagram, clear black outlines, flat gray fills, flat 2D side view. Compressor, receiver tank, then a drain separator with an auto drain to a collection bottle; the main line slopes slightly down toward a low-point auto drain; branch pipes rise from the top of the main line before dropping to three machines with nearly dry filter bowls. Component labels with leader lines: A = drain separator, B = low-point auto drain, C = top take-off branch, D = collection bottle. Bold arrows for air flow, small drops falling only at A and B. Limited palette: 70% white-gray, 25% steel blue-gray, 5% orange accent only on the drain separator. White background, no photorealism, no text other than the labels specified.</t>
  </si>
  <si>
    <t xml:space="preserve">sharp change of flow direction makes heavier water droplets separate and fall (inertia)</t>
  </si>
  <si>
    <t xml:space="preserve">Cutaway cross-section technical diagram, square format. Inside a drain separator: incoming air turns sharply around a baffle; water droplets continue straight, hit the wall and run down into the bottom bowl; dry air leaves at the top outlet. Curved arrows for air, straight dotted lines for droplets, drops collecting above the drain. Labels: A = inlet, B = baffle, C = outlet, D = water bowl, E = auto drain. Hatching on cut walls. Limited palette: 70% white-gray, 25% steel blue-gray, 5% orange accent only on the baffle. White background, no photorealism, no text other than the labels specified.</t>
  </si>
  <si>
    <t xml:space="preserve">หมวด</t>
  </si>
  <si>
    <t xml:space="preserve">รหัส</t>
  </si>
  <si>
    <t xml:space="preserve">หลักการ</t>
  </si>
  <si>
    <t xml:space="preserve">การใช้ใน Case นี้</t>
  </si>
  <si>
    <t xml:space="preserve">อ้างอิง (เล่ม/หน้า)</t>
  </si>
  <si>
    <t xml:space="preserve">Source Tag</t>
  </si>
  <si>
    <t xml:space="preserve">Source fact</t>
  </si>
  <si>
    <t xml:space="preserve">PDF p.44, p.45, p.49</t>
  </si>
  <si>
    <t xml:space="preserve">Drain วันละครั้ง · มี Auto drain · ตรวจ Auto drain ทุก 3 เดือน</t>
  </si>
  <si>
    <t xml:space="preserve">ใช้อุปกรณ์ที่ต้นฉบับกล่าวถึง</t>
  </si>
  <si>
    <t xml:space="preserve">Equipment Skills Training – Pneumatic</t>
  </si>
  <si>
    <t xml:space="preserve">[FACT]</t>
  </si>
  <si>
    <t xml:space="preserve">Idea-Design</t>
  </si>
  <si>
    <t xml:space="preserve">ID-11</t>
  </si>
  <si>
    <t xml:space="preserve">ECR: Eliminate ก่อน</t>
  </si>
  <si>
    <t xml:space="preserve">Eliminate น้ำที่ต้นทาง = P-K4 (ระดับระบบ) · ยังเหลือน้ำ → Reduce งานรายวันด้วยลูกลอย</t>
  </si>
  <si>
    <t xml:space="preserve">KT2 pp.91-100</t>
  </si>
  <si>
    <t xml:space="preserve">[INFERENCE: H]</t>
  </si>
  <si>
    <t xml:space="preserve">9 Principles</t>
  </si>
  <si>
    <t xml:space="preserve">① 真因</t>
  </si>
  <si>
    <t xml:space="preserve">Why × 3</t>
  </si>
  <si>
    <t xml:space="preserve">ทำไมต้อง Drain ทุกวัน? น้ำสะสมทุกคืน → ทำไม? ลมอัดเย็นตัวตอนกลางคืน ไอน้ำกลั่นเป็นน้ำ (p.44) → ทำไม? ลมอัดจากต้นทางยังชื้น (ไม่มี Drain separator/Dryer พอ)</t>
  </si>
  <si>
    <t xml:space="preserve">idea-kaizen V1.6</t>
  </si>
  <si>
    <t xml:space="preserve">[INFERENCE: M]</t>
  </si>
  <si>
    <t xml:space="preserve">Karakuri P1-P24</t>
  </si>
  <si>
    <t xml:space="preserve">P12 + P2</t>
  </si>
  <si>
    <t xml:space="preserve">Actuator precision (Dog) · ตรวจที่ปรากฏการณ์</t>
  </si>
  <si>
    <t xml:space="preserve">ลูกลอยคือ Dog ที่สั่งเปิด-ปิดตามระดับน้ำ</t>
  </si>
  <si>
    <t xml:space="preserve">karakuri-kaizen-design v18.2</t>
  </si>
  <si>
    <t xml:space="preserve">Case reference</t>
  </si>
  <si>
    <t xml:space="preserve">KRK-BLUE-282</t>
  </si>
  <si>
    <t xml:space="preserve">Float valve ระบายบ่อเอง ไม่ใช้ไฟ</t>
  </si>
  <si>
    <t xml:space="preserve">หลักการลูกลอยเปิด-ปิดตามระดับ</t>
  </si>
  <si>
    <t xml:space="preserve">JMAC Blue p.282</t>
  </si>
  <si>
    <t xml:space="preserve">PDF p.45</t>
  </si>
  <si>
    <t xml:space="preserve">ตรวจลมรั่วพร้อมรอบ 3 เดือน (Table 2)</t>
  </si>
  <si>
    <t xml:space="preserve">รายการจุดบนแผนที่มาจาก Table 2</t>
  </si>
  <si>
    <t xml:space="preserve">Eliminate รั่ว = ซ่อม (PM) · Reduce ข้อต่อที่ไม่จำเป็น * · Change วิธีหา</t>
  </si>
  <si>
    <t xml:space="preserve">ทำไมหาไม่ครบ? ได้ยินยากและจำจุดไม่ได้ → ทำไม? พึ่งหูและความจำ → ทำไม? ไม่มีรายการ/แผนที่ที่ทำให้เห็นสภาพที่ควรเป็น (ID-3)</t>
  </si>
  <si>
    <t xml:space="preserve">Idea Pattern</t>
  </si>
  <si>
    <t xml:space="preserve">PT-3</t>
  </si>
  <si>
    <t xml:space="preserve">Visual Control</t>
  </si>
  <si>
    <t xml:space="preserve">แผนที่ + หมายเลขจุด + บอร์ดนับ</t>
  </si>
  <si>
    <t xml:space="preserve">BP1 p.102</t>
  </si>
  <si>
    <t xml:space="preserve">P2 + P11</t>
  </si>
  <si>
    <t xml:space="preserve">ตรวจที่ปรากฏการณ์ + สถานะเห็นได้</t>
  </si>
  <si>
    <t xml:space="preserve">ฟองสบู่เกิดตรงจุดรั่ว · Tag บอกสถานะค้างซ่อม</t>
  </si>
  <si>
    <t xml:space="preserve">PDF p.39, p.44, p.49</t>
  </si>
  <si>
    <t xml:space="preserve">Lock nut กันค่าตั้งเปลี่ยนจากแรงสั่น · แถบเขียวที่ค่าตั้ง · ตรวจโบลต์/ที่ยึดท่อ</t>
  </si>
  <si>
    <t xml:space="preserve">ใช้เกณฑ์ต้นฉบับ</t>
  </si>
  <si>
    <t xml:space="preserve">Visual Control ‘อย่าวัด จงกำหนด’</t>
  </si>
  <si>
    <t xml:space="preserve">เส้นสี + แถบเขียว แทนการลองขัน</t>
  </si>
  <si>
    <t xml:space="preserve">Regulator ต้องปรับได้ → Eliminate การคลายไม่ได้ → Change วิธีตรวจ</t>
  </si>
  <si>
    <t xml:space="preserve">ทำไมค่าตั้งเคลื่อน? Handle หมุนเอง → ทำไม? Lock nut คลายจากแรงสั่น (p.39) → ทำไม? ไม่มีวิธีเห็นการคลายระหว่างรอบตรวจ</t>
  </si>
  <si>
    <t xml:space="preserve">KRK-CBI-154</t>
  </si>
  <si>
    <t xml:space="preserve">ความหลวมที่ซ่อนอยู่ แสดงให้เห็นในพริบตา</t>
  </si>
  <si>
    <t xml:space="preserve">แนวคิดเดียวกับ H-K2</t>
  </si>
  <si>
    <t xml:space="preserve">JIPM Case Book 1 p.154</t>
  </si>
  <si>
    <t xml:space="preserve">PDF p.36–37, p.41–42, p.44</t>
  </si>
  <si>
    <t xml:space="preserve">Drain separator/Dehumidifier เป็นอุปกรณ์กรอง · ปัญหาจาก Drain · Drain ทุกวัน</t>
  </si>
  <si>
    <t xml:space="preserve">เหตุผลของการแก้ที่ต้นทาง</t>
  </si>
  <si>
    <t xml:space="preserve">นี่คือขั้น Eliminate ของปัญหาน้ำ (ราก) ส่วน P-K1 คือ Reduce ที่ปลายทาง</t>
  </si>
  <si>
    <t xml:space="preserve">ทำไมทุกเครื่องมีน้ำ? ลมอัดกลั่นตัวตอนเย็น → ทำไม? ความชื้นจาก Compressor ไม่ถูกแยกก่อนกระจาย → ทำไม? ไม่มีอุปกรณ์แยกน้ำ/จุด Drain ที่ท่อหลักเพียงพอ</t>
  </si>
  <si>
    <t xml:space="preserve">6 Factors</t>
  </si>
  <si>
    <t xml:space="preserve">Environment / Design</t>
  </si>
  <si>
    <t xml:space="preserve">สภาพแวดล้อม · จุดอ่อนการออกแบบ</t>
  </si>
  <si>
    <t xml:space="preserve">แก้ที่ระบบ (EEM) ไม่ใช่เพิ่มงาน AM</t>
  </si>
  <si>
    <t xml:space="preserve">AM Standard · Forced_Deterioration</t>
  </si>
  <si>
    <t xml:space="preserve">Low-Cost rule</t>
  </si>
  <si>
    <t xml:space="preserve">⑦</t>
  </si>
  <si>
    <t xml:space="preserve">≤ 5,000 บาท</t>
  </si>
  <si>
    <t xml:space="preserve">อาจเกินเกณฑ์ → แยกเป็นโครงการ EEM/Utility</t>
  </si>
  <si>
    <t xml:space="preserve">รายการ</t>
  </si>
  <si>
    <t xml:space="preserve">Round 1 — ZH Police (≥ 7/8)</t>
  </si>
  <si>
    <t xml:space="preserve">ZH-A ตัวเลขติด Tag ครบ</t>
  </si>
  <si>
    <t xml:space="preserve">ZH-B ไม่ invent Spec</t>
  </si>
  <si>
    <t xml:space="preserve">ZH-C Why ≥ 3 ชั้น</t>
  </si>
  <si>
    <t xml:space="preserve">ZH-E Physics Validity</t>
  </si>
  <si>
    <t xml:space="preserve">ZH-G Spring Rule</t>
  </si>
  <si>
    <t xml:space="preserve">ZH-H ไม่มี Motor/PLC เป็นแรงขับ</t>
  </si>
  <si>
    <t xml:space="preserve">ZH-I Prompt ตรงฟิสิกส์</t>
  </si>
  <si>
    <t xml:space="preserve">ZH-K Confidence ประกาศ</t>
  </si>
  <si>
    <t xml:space="preserve">Round 2 — Design Quality (≥ 6/7)</t>
  </si>
  <si>
    <t xml:space="preserve">ECR ก่อนกลไก</t>
  </si>
  <si>
    <r>
      <rPr>
        <sz val="9"/>
        <color rgb="FF000000"/>
        <rFont val="WenQuanYi Zen Hei"/>
        <family val="2"/>
      </rPr>
      <t xml:space="preserve">力・構造・原理 </t>
    </r>
    <r>
      <rPr>
        <sz val="9"/>
        <color rgb="FF000000"/>
        <rFont val="Tahoma"/>
        <family val="0"/>
        <charset val="1"/>
      </rPr>
      <t xml:space="preserve">ครบ</t>
    </r>
  </si>
  <si>
    <t xml:space="preserve">Point ①-⑤ มีเหตุผล</t>
  </si>
  <si>
    <t xml:space="preserve">Fail-safe ระบุ</t>
  </si>
  <si>
    <r>
      <rPr>
        <sz val="9"/>
        <color rgb="FF000000"/>
        <rFont val="WenQuanYi Zen Hei"/>
        <family val="2"/>
      </rPr>
      <t xml:space="preserve">苦労点 </t>
    </r>
    <r>
      <rPr>
        <sz val="9"/>
        <color rgb="FF000000"/>
        <rFont val="Tahoma"/>
        <family val="0"/>
        <charset val="1"/>
      </rPr>
      <t xml:space="preserve">Dual Layer</t>
    </r>
  </si>
  <si>
    <t xml:space="preserve">Quantified + สูตรเงิน</t>
  </si>
  <si>
    <t xml:space="preserve">Yokoten + วันที่</t>
  </si>
  <si>
    <t xml:space="preserve">Round 3 — Output Quality (≥ 4/5)</t>
  </si>
  <si>
    <t xml:space="preserve">Prompt ครบ Before/After/Close-up</t>
  </si>
  <si>
    <t xml:space="preserve">หลักการฝังใน Prompt</t>
  </si>
  <si>
    <t xml:space="preserve">Excel 4 Sheets</t>
  </si>
  <si>
    <t xml:space="preserve">เปิดได้จริง (verify แล้ว)</t>
  </si>
  <si>
    <t xml:space="preserve">One-Page ครบ 8 ช่อง Denso</t>
  </si>
  <si>
    <t xml:space="preserve">TOTAL (ผ่าน ≥ 17/20)</t>
  </si>
  <si>
    <t xml:space="preserve">ผล</t>
  </si>
  <si>
    <t xml:space="preserve">หมายเหตุ: Yokoten ได้ 0 จนกว่าจะกรอก Line จริง + วันที่ · P-K4 ยังไม่มี Baseline ปริมาณน้ำ จึงยังคำนวณเงินไม่ได้</t>
  </si>
</sst>
</file>

<file path=xl/styles.xml><?xml version="1.0" encoding="utf-8"?>
<styleSheet xmlns="http://schemas.openxmlformats.org/spreadsheetml/2006/main">
  <numFmts count="2">
    <numFmt numFmtId="164" formatCode="General"/>
    <numFmt numFmtId="165" formatCode="General"/>
  </numFmts>
  <fonts count="29">
    <font>
      <sz val="11"/>
      <color theme="1"/>
      <name val="Calibri"/>
      <family val="2"/>
      <charset val="1"/>
    </font>
    <font>
      <sz val="10"/>
      <name val="Arial"/>
      <family val="0"/>
    </font>
    <font>
      <sz val="10"/>
      <name val="Arial"/>
      <family val="0"/>
    </font>
    <font>
      <sz val="10"/>
      <name val="Arial"/>
      <family val="0"/>
    </font>
    <font>
      <b val="true"/>
      <sz val="15"/>
      <color rgb="FFFFFFFF"/>
      <name val="Tahoma"/>
      <family val="0"/>
      <charset val="1"/>
    </font>
    <font>
      <b val="true"/>
      <sz val="15"/>
      <color rgb="FFFFFFFF"/>
      <name val="WenQuanYi Zen Hei"/>
      <family val="2"/>
    </font>
    <font>
      <i val="true"/>
      <sz val="9"/>
      <color rgb="FF5A6775"/>
      <name val="Tahoma"/>
      <family val="0"/>
      <charset val="1"/>
    </font>
    <font>
      <b val="true"/>
      <sz val="9"/>
      <name val="Tahoma"/>
      <family val="0"/>
      <charset val="1"/>
    </font>
    <font>
      <sz val="9"/>
      <color rgb="FF000000"/>
      <name val="Tahoma"/>
      <family val="0"/>
      <charset val="1"/>
    </font>
    <font>
      <i val="true"/>
      <sz val="8"/>
      <color rgb="FFB07A00"/>
      <name val="Tahoma"/>
      <family val="0"/>
      <charset val="1"/>
    </font>
    <font>
      <b val="true"/>
      <sz val="10"/>
      <color rgb="FFFFFFFF"/>
      <name val="Tahoma"/>
      <family val="0"/>
      <charset val="1"/>
    </font>
    <font>
      <b val="true"/>
      <sz val="9"/>
      <color rgb="FF000000"/>
      <name val="Tahoma"/>
      <family val="0"/>
      <charset val="1"/>
    </font>
    <font>
      <sz val="9"/>
      <color rgb="FF000000"/>
      <name val="WenQuanYi Zen Hei"/>
      <family val="2"/>
    </font>
    <font>
      <sz val="9"/>
      <color rgb="FFB07A00"/>
      <name val="Tahoma"/>
      <family val="0"/>
      <charset val="1"/>
    </font>
    <font>
      <b val="true"/>
      <sz val="11"/>
      <color rgb="FFFFFFFF"/>
      <name val="Tahoma"/>
      <family val="0"/>
      <charset val="1"/>
    </font>
    <font>
      <b val="true"/>
      <sz val="14"/>
      <color rgb="FF000000"/>
      <name val="Tahoma"/>
      <family val="0"/>
      <charset val="1"/>
    </font>
    <font>
      <b val="true"/>
      <sz val="14"/>
      <color rgb="FF000000"/>
      <name val="WenQuanYi Zen Hei"/>
      <family val="2"/>
    </font>
    <font>
      <b val="true"/>
      <sz val="10"/>
      <color rgb="FF000000"/>
      <name val="Tahoma"/>
      <family val="0"/>
      <charset val="1"/>
    </font>
    <font>
      <sz val="10"/>
      <color rgb="FF000000"/>
      <name val="Tahoma"/>
      <family val="0"/>
      <charset val="1"/>
    </font>
    <font>
      <sz val="10"/>
      <color rgb="FF000000"/>
      <name val="WenQuanYi Zen Hei"/>
      <family val="2"/>
    </font>
    <font>
      <b val="true"/>
      <sz val="10"/>
      <color rgb="FFC0504D"/>
      <name val="Tahoma"/>
      <family val="0"/>
      <charset val="1"/>
    </font>
    <font>
      <sz val="9"/>
      <color rgb="FF808080"/>
      <name val="Tahoma"/>
      <family val="0"/>
      <charset val="1"/>
    </font>
    <font>
      <b val="true"/>
      <sz val="11"/>
      <color rgb="FF000000"/>
      <name val="Tahoma"/>
      <family val="0"/>
      <charset val="1"/>
    </font>
    <font>
      <b val="true"/>
      <sz val="9"/>
      <color rgb="FFFFFFFF"/>
      <name val="Tahoma"/>
      <family val="0"/>
      <charset val="1"/>
    </font>
    <font>
      <b val="true"/>
      <sz val="9"/>
      <color rgb="FFFFFFFF"/>
      <name val="WenQuanYi Zen Hei"/>
      <family val="2"/>
    </font>
    <font>
      <b val="true"/>
      <sz val="11"/>
      <color rgb="FFC0504D"/>
      <name val="Tahoma"/>
      <family val="0"/>
      <charset val="1"/>
    </font>
    <font>
      <sz val="8"/>
      <color rgb="FF808080"/>
      <name val="Tahoma"/>
      <family val="0"/>
      <charset val="1"/>
    </font>
    <font>
      <b val="true"/>
      <sz val="11"/>
      <color rgb="FF000000"/>
      <name val="WenQuanYi Zen Hei"/>
      <family val="2"/>
    </font>
    <font>
      <sz val="8"/>
      <color rgb="FF000000"/>
      <name val="Tahoma"/>
      <family val="0"/>
      <charset val="1"/>
    </font>
  </fonts>
  <fills count="12">
    <fill>
      <patternFill patternType="none"/>
    </fill>
    <fill>
      <patternFill patternType="gray125"/>
    </fill>
    <fill>
      <patternFill patternType="solid">
        <fgColor rgb="FF44546A"/>
        <bgColor rgb="FF5A6775"/>
      </patternFill>
    </fill>
    <fill>
      <patternFill patternType="solid">
        <fgColor rgb="FFFFF2CC"/>
        <bgColor rgb="FFFCE7B2"/>
      </patternFill>
    </fill>
    <fill>
      <patternFill patternType="solid">
        <fgColor rgb="FFF2F2F2"/>
        <bgColor rgb="FFEDF0F5"/>
      </patternFill>
    </fill>
    <fill>
      <patternFill patternType="solid">
        <fgColor rgb="FFF8C9CF"/>
        <bgColor rgb="FFFCE7B2"/>
      </patternFill>
    </fill>
    <fill>
      <patternFill patternType="solid">
        <fgColor rgb="FFFCE7B2"/>
        <bgColor rgb="FFFFF2CC"/>
      </patternFill>
    </fill>
    <fill>
      <patternFill patternType="solid">
        <fgColor rgb="FFEDF0F5"/>
        <bgColor rgb="FFF2F2F2"/>
      </patternFill>
    </fill>
    <fill>
      <patternFill patternType="solid">
        <fgColor rgb="FF8496B0"/>
        <bgColor rgb="FF808080"/>
      </patternFill>
    </fill>
    <fill>
      <patternFill patternType="solid">
        <fgColor rgb="FFC0504D"/>
        <bgColor rgb="FF993366"/>
      </patternFill>
    </fill>
    <fill>
      <patternFill patternType="solid">
        <fgColor rgb="FF70AD47"/>
        <bgColor rgb="FF99CC00"/>
      </patternFill>
    </fill>
    <fill>
      <patternFill patternType="solid">
        <fgColor rgb="FFED7D31"/>
        <bgColor rgb="FFFF8080"/>
      </patternFill>
    </fill>
  </fills>
  <borders count="3">
    <border diagonalUp="false" diagonalDown="false">
      <left/>
      <right/>
      <top/>
      <bottom/>
      <diagonal/>
    </border>
    <border diagonalUp="false" diagonalDown="false">
      <left style="thin">
        <color rgb="FFB0B7C3"/>
      </left>
      <right style="thin">
        <color rgb="FFB0B7C3"/>
      </right>
      <top style="thin">
        <color rgb="FFB0B7C3"/>
      </top>
      <bottom style="thin">
        <color rgb="FFB0B7C3"/>
      </bottom>
      <diagonal/>
    </border>
    <border diagonalUp="false" diagonalDown="false">
      <left style="thin">
        <color rgb="FFB0B7C3"/>
      </left>
      <right/>
      <top style="thin">
        <color rgb="FFB0B7C3"/>
      </top>
      <bottom style="thin">
        <color rgb="FFB0B7C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left" vertical="top" textRotation="0" wrapText="true" indent="0" shrinkToFit="false"/>
      <protection locked="true" hidden="false"/>
    </xf>
    <xf numFmtId="164" fontId="17" fillId="7"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8" fillId="3"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20" fillId="7"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center" vertical="top" textRotation="0" wrapText="tru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3" fillId="11" borderId="1" xfId="0" applyFont="true" applyBorder="true" applyAlignment="true" applyProtection="false">
      <alignment horizontal="center" vertical="center" textRotation="0" wrapText="false" indent="0" shrinkToFit="false"/>
      <protection locked="true" hidden="false"/>
    </xf>
    <xf numFmtId="164" fontId="25"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26" fillId="0" borderId="0"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5" fontId="20" fillId="0"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8E6C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07A00"/>
      <rgbColor rgb="FF800080"/>
      <rgbColor rgb="FF008080"/>
      <rgbColor rgb="FFB0B7C3"/>
      <rgbColor rgb="FF808080"/>
      <rgbColor rgb="FF9999FF"/>
      <rgbColor rgb="FFC0504D"/>
      <rgbColor rgb="FFFFF2CC"/>
      <rgbColor rgb="FFEDF0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8E6C9"/>
      <rgbColor rgb="FFFCE7B2"/>
      <rgbColor rgb="FF99CCFF"/>
      <rgbColor rgb="FFFF99CC"/>
      <rgbColor rgb="FFCC99FF"/>
      <rgbColor rgb="FFF8C9CF"/>
      <rgbColor rgb="FF3366FF"/>
      <rgbColor rgb="FF33CCCC"/>
      <rgbColor rgb="FF99CC00"/>
      <rgbColor rgb="FFFFCC00"/>
      <rgbColor rgb="FFFF9900"/>
      <rgbColor rgb="FFED7D31"/>
      <rgbColor rgb="FF5A6775"/>
      <rgbColor rgb="FF8496B0"/>
      <rgbColor rgb="FF003366"/>
      <rgbColor rgb="FF70AD47"/>
      <rgbColor rgb="FF003300"/>
      <rgbColor rgb="FF333300"/>
      <rgbColor rgb="FF9933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34"/>
    <col collapsed="false" customWidth="true" hidden="false" outlineLevel="0" max="4" min="4" style="0" width="16"/>
    <col collapsed="false" customWidth="true" hidden="false" outlineLevel="0" max="5" min="5" style="0" width="10"/>
    <col collapsed="false" customWidth="true" hidden="false" outlineLevel="0" max="6" min="6" style="0" width="9"/>
    <col collapsed="false" customWidth="true" hidden="false" outlineLevel="0" max="7" min="7" style="0" width="11"/>
    <col collapsed="false" customWidth="true" hidden="false" outlineLevel="0" max="8" min="8" style="0" width="8"/>
    <col collapsed="false" customWidth="true" hidden="false" outlineLevel="0" max="9" min="9" style="0" width="10"/>
    <col collapsed="false" customWidth="true" hidden="false" outlineLevel="0" max="11" min="10" style="0" width="11"/>
    <col collapsed="false" customWidth="true" hidden="false" outlineLevel="0" max="12" min="12" style="0" width="8"/>
    <col collapsed="false" customWidth="true" hidden="false" outlineLevel="0" max="13" min="13" style="0" width="12"/>
    <col collapsed="false" customWidth="true" hidden="false" outlineLevel="0" max="14" min="14" style="0" width="9"/>
    <col collapsed="false" customWidth="true" hidden="false" outlineLevel="0" max="15" min="15" style="0" width="26"/>
    <col collapsed="false" customWidth="true" hidden="false" outlineLevel="0" max="16" min="16" style="0" width="12"/>
    <col collapsed="false" customWidth="true" hidden="false" outlineLevel="0" max="17" min="17" style="0" width="11"/>
  </cols>
  <sheetData>
    <row r="1" customFormat="false" ht="30" hidden="false" customHeight="true" outlineLevel="0" collapsed="false">
      <c r="A1" s="1" t="s">
        <v>0</v>
      </c>
      <c r="B1" s="1"/>
      <c r="C1" s="1"/>
      <c r="D1" s="1"/>
      <c r="E1" s="1"/>
      <c r="F1" s="1"/>
      <c r="G1" s="1"/>
      <c r="H1" s="1"/>
      <c r="I1" s="1"/>
      <c r="J1" s="1"/>
      <c r="K1" s="1"/>
      <c r="L1" s="1"/>
      <c r="M1" s="1"/>
      <c r="N1" s="1"/>
      <c r="O1" s="1"/>
      <c r="P1" s="1"/>
      <c r="Q1" s="1"/>
    </row>
    <row r="2" customFormat="false" ht="11.9" hidden="false" customHeight="false" outlineLevel="0" collapsed="false">
      <c r="A2" s="2" t="s">
        <v>1</v>
      </c>
      <c r="B2" s="2"/>
      <c r="C2" s="2"/>
      <c r="D2" s="2"/>
      <c r="E2" s="2"/>
      <c r="F2" s="2"/>
      <c r="G2" s="2"/>
      <c r="H2" s="2"/>
      <c r="I2" s="2"/>
      <c r="J2" s="2"/>
      <c r="K2" s="2"/>
      <c r="L2" s="2"/>
      <c r="M2" s="2"/>
      <c r="N2" s="2"/>
      <c r="O2" s="2"/>
      <c r="P2" s="2"/>
      <c r="Q2" s="2"/>
    </row>
    <row r="3" customFormat="false" ht="15" hidden="false" customHeight="false" outlineLevel="0" collapsed="false">
      <c r="A3" s="3" t="s">
        <v>2</v>
      </c>
      <c r="B3" s="4"/>
      <c r="C3" s="5" t="s">
        <v>3</v>
      </c>
    </row>
    <row r="5" customFormat="false" ht="31.5" hidden="false" customHeight="true" outlineLevel="0" collapsed="false">
      <c r="A5" s="6" t="s">
        <v>4</v>
      </c>
      <c r="B5" s="6" t="s">
        <v>5</v>
      </c>
      <c r="C5" s="6" t="s">
        <v>6</v>
      </c>
      <c r="D5" s="6" t="s">
        <v>7</v>
      </c>
      <c r="E5" s="6" t="s">
        <v>8</v>
      </c>
      <c r="F5" s="6" t="s">
        <v>9</v>
      </c>
      <c r="G5" s="6" t="s">
        <v>10</v>
      </c>
      <c r="H5" s="6" t="s">
        <v>11</v>
      </c>
      <c r="I5" s="6" t="s">
        <v>12</v>
      </c>
      <c r="J5" s="6" t="s">
        <v>13</v>
      </c>
      <c r="K5" s="6" t="s">
        <v>14</v>
      </c>
      <c r="L5" s="6" t="s">
        <v>15</v>
      </c>
      <c r="M5" s="6" t="s">
        <v>16</v>
      </c>
      <c r="N5" s="6" t="s">
        <v>17</v>
      </c>
      <c r="O5" s="6" t="s">
        <v>18</v>
      </c>
      <c r="P5" s="6" t="s">
        <v>19</v>
      </c>
      <c r="Q5" s="6" t="s">
        <v>20</v>
      </c>
    </row>
    <row r="6" customFormat="false" ht="42" hidden="false" customHeight="true" outlineLevel="0" collapsed="false">
      <c r="A6" s="7" t="n">
        <v>1</v>
      </c>
      <c r="B6" s="8" t="s">
        <v>21</v>
      </c>
      <c r="C6" s="9" t="s">
        <v>22</v>
      </c>
      <c r="D6" s="7" t="s">
        <v>23</v>
      </c>
      <c r="E6" s="7" t="s">
        <v>24</v>
      </c>
      <c r="F6" s="4" t="n">
        <v>6</v>
      </c>
      <c r="G6" s="4" t="n">
        <v>0</v>
      </c>
      <c r="H6" s="4" t="n">
        <v>312</v>
      </c>
      <c r="I6" s="10" t="n">
        <f aca="false">IFERROR(IF(OR(F6="",G6="",H6=""),"",(F6-G6)*H6),"")</f>
        <v>1872</v>
      </c>
      <c r="J6" s="11" t="str">
        <f aca="false">IF(OR($B$3="",I6=""),"",ROUND(I6/60*$B$3,0))</f>
        <v/>
      </c>
      <c r="K6" s="4" t="n">
        <v>3000</v>
      </c>
      <c r="L6" s="12" t="s">
        <v>25</v>
      </c>
      <c r="M6" s="7" t="s">
        <v>26</v>
      </c>
      <c r="N6" s="10" t="n">
        <f aca="false">'Self-Check'!B$31</f>
        <v>19</v>
      </c>
      <c r="O6" s="9" t="s">
        <v>27</v>
      </c>
      <c r="P6" s="4" t="s">
        <v>28</v>
      </c>
      <c r="Q6" s="4"/>
    </row>
    <row r="7" customFormat="false" ht="42" hidden="false" customHeight="true" outlineLevel="0" collapsed="false">
      <c r="A7" s="7" t="n">
        <v>2</v>
      </c>
      <c r="B7" s="8" t="s">
        <v>29</v>
      </c>
      <c r="C7" s="9" t="s">
        <v>30</v>
      </c>
      <c r="D7" s="7" t="s">
        <v>31</v>
      </c>
      <c r="E7" s="7" t="s">
        <v>32</v>
      </c>
      <c r="F7" s="4" t="n">
        <v>15</v>
      </c>
      <c r="G7" s="4" t="n">
        <v>5</v>
      </c>
      <c r="H7" s="4" t="n">
        <v>4</v>
      </c>
      <c r="I7" s="10" t="n">
        <f aca="false">IFERROR(IF(OR(F7="",G7="",H7=""),"",(F7-G7)*H7),"")</f>
        <v>40</v>
      </c>
      <c r="J7" s="11" t="str">
        <f aca="false">IF(OR($B$3="",I7=""),"",ROUND(I7/60*$B$3,0))</f>
        <v/>
      </c>
      <c r="K7" s="4" t="n">
        <v>300</v>
      </c>
      <c r="L7" s="13" t="s">
        <v>33</v>
      </c>
      <c r="M7" s="7" t="s">
        <v>34</v>
      </c>
      <c r="N7" s="10" t="n">
        <f aca="false">'Self-Check'!C$31</f>
        <v>19</v>
      </c>
      <c r="O7" s="9" t="s">
        <v>35</v>
      </c>
      <c r="P7" s="4" t="s">
        <v>28</v>
      </c>
      <c r="Q7" s="4"/>
    </row>
    <row r="8" customFormat="false" ht="42" hidden="false" customHeight="true" outlineLevel="0" collapsed="false">
      <c r="A8" s="7" t="n">
        <v>3</v>
      </c>
      <c r="B8" s="8" t="s">
        <v>36</v>
      </c>
      <c r="C8" s="9" t="s">
        <v>37</v>
      </c>
      <c r="D8" s="7" t="s">
        <v>38</v>
      </c>
      <c r="E8" s="7" t="s">
        <v>32</v>
      </c>
      <c r="F8" s="4" t="n">
        <v>2.5</v>
      </c>
      <c r="G8" s="4" t="n">
        <v>0.5</v>
      </c>
      <c r="H8" s="4" t="n">
        <v>312</v>
      </c>
      <c r="I8" s="10" t="n">
        <f aca="false">IFERROR(IF(OR(F8="",G8="",H8=""),"",(F8-G8)*H8),"")</f>
        <v>624</v>
      </c>
      <c r="J8" s="11" t="str">
        <f aca="false">IF(OR($B$3="",I8=""),"",ROUND(I8/60*$B$3,0))</f>
        <v/>
      </c>
      <c r="K8" s="4" t="n">
        <v>300</v>
      </c>
      <c r="L8" s="12" t="s">
        <v>25</v>
      </c>
      <c r="M8" s="7" t="s">
        <v>39</v>
      </c>
      <c r="N8" s="10" t="n">
        <f aca="false">'Self-Check'!D$31</f>
        <v>19</v>
      </c>
      <c r="O8" s="9" t="s">
        <v>40</v>
      </c>
      <c r="P8" s="4" t="s">
        <v>28</v>
      </c>
      <c r="Q8" s="4"/>
    </row>
    <row r="9" customFormat="false" ht="42" hidden="false" customHeight="true" outlineLevel="0" collapsed="false">
      <c r="A9" s="7" t="n">
        <v>4</v>
      </c>
      <c r="B9" s="8" t="s">
        <v>41</v>
      </c>
      <c r="C9" s="9" t="s">
        <v>42</v>
      </c>
      <c r="D9" s="7" t="s">
        <v>43</v>
      </c>
      <c r="E9" s="7" t="s">
        <v>44</v>
      </c>
      <c r="F9" s="14" t="s">
        <v>45</v>
      </c>
      <c r="G9" s="14" t="s">
        <v>45</v>
      </c>
      <c r="H9" s="14" t="s">
        <v>45</v>
      </c>
      <c r="I9" s="10" t="str">
        <f aca="false">IFERROR(IF(OR(F9="",G9="",H9=""),"",(F9-G9)*H9),"")</f>
        <v/>
      </c>
      <c r="J9" s="11" t="str">
        <f aca="false">IF(OR($B$3="",I9=""),"",ROUND(I9/60*$B$3,0))</f>
        <v/>
      </c>
      <c r="K9" s="14" t="s">
        <v>45</v>
      </c>
      <c r="L9" s="13" t="s">
        <v>33</v>
      </c>
      <c r="M9" s="7" t="s">
        <v>46</v>
      </c>
      <c r="N9" s="10" t="n">
        <f aca="false">'Self-Check'!E$31</f>
        <v>18</v>
      </c>
      <c r="O9" s="9" t="s">
        <v>47</v>
      </c>
      <c r="P9" s="4" t="s">
        <v>28</v>
      </c>
      <c r="Q9" s="4"/>
    </row>
    <row r="10" customFormat="false" ht="15" hidden="false" customHeight="true" outlineLevel="0" collapsed="false">
      <c r="A10" s="8" t="s">
        <v>48</v>
      </c>
      <c r="B10" s="8"/>
      <c r="C10" s="8"/>
      <c r="D10" s="8"/>
      <c r="E10" s="8"/>
      <c r="F10" s="8"/>
      <c r="G10" s="8"/>
      <c r="H10" s="8"/>
      <c r="I10" s="10" t="n">
        <f aca="false">SUM(I6:I9)</f>
        <v>2536</v>
      </c>
      <c r="J10" s="10" t="str">
        <f aca="false">IF($B$3="","",SUM(J6:J9))</f>
        <v/>
      </c>
      <c r="K10" s="10" t="n">
        <f aca="false">SUM(K6:K9)</f>
        <v>3600</v>
      </c>
    </row>
    <row r="11" customFormat="false" ht="15" hidden="false" customHeight="true" outlineLevel="0" collapsed="false">
      <c r="A11" s="15" t="s">
        <v>49</v>
      </c>
      <c r="B11" s="15"/>
      <c r="C11" s="15"/>
      <c r="D11" s="15"/>
      <c r="E11" s="15"/>
      <c r="F11" s="15"/>
      <c r="G11" s="15"/>
      <c r="H11" s="15"/>
      <c r="I11" s="10" t="n">
        <f aca="false">ROUND(I10/60,1)</f>
        <v>42.3</v>
      </c>
    </row>
    <row r="13" customFormat="false" ht="31.5" hidden="false" customHeight="true" outlineLevel="0" collapsed="false">
      <c r="A13" s="16" t="s">
        <v>50</v>
      </c>
      <c r="B13" s="16"/>
      <c r="C13" s="16"/>
      <c r="D13" s="16"/>
      <c r="E13" s="16"/>
      <c r="F13" s="16"/>
      <c r="G13" s="16"/>
      <c r="H13" s="16"/>
      <c r="I13" s="16"/>
      <c r="J13" s="16"/>
      <c r="K13" s="16"/>
      <c r="L13" s="16"/>
      <c r="M13" s="16"/>
      <c r="N13" s="16"/>
      <c r="O13" s="16"/>
      <c r="P13" s="16"/>
      <c r="Q13" s="16"/>
    </row>
  </sheetData>
  <mergeCells count="5">
    <mergeCell ref="A1:Q1"/>
    <mergeCell ref="A2:Q2"/>
    <mergeCell ref="A10:H10"/>
    <mergeCell ref="A11:H11"/>
    <mergeCell ref="A13:Q13"/>
  </mergeCells>
  <dataValidations count="1">
    <dataValidation allowBlank="true" errorStyle="stop" operator="between" showDropDown="false" showErrorMessage="false" showInputMessage="false" sqref="P6:P9" type="list">
      <formula1>"วางแผน,กำลังทำ,เสร็จ,ยกเลิก"</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6" min="2" style="0" width="13"/>
    <col collapsed="false" customWidth="true" hidden="false" outlineLevel="0" max="7" min="7" style="0" width="3"/>
    <col collapsed="false" customWidth="true" hidden="false" outlineLevel="0" max="12" min="8" style="0" width="13"/>
    <col collapsed="false" customWidth="true" hidden="false" outlineLevel="0" max="13" min="13" style="0" width="3"/>
  </cols>
  <sheetData>
    <row r="2" customFormat="false" ht="15" hidden="false" customHeight="true" outlineLevel="0" collapsed="false">
      <c r="B2" s="17" t="s">
        <v>6</v>
      </c>
      <c r="C2" s="18" t="s">
        <v>51</v>
      </c>
      <c r="D2" s="18"/>
      <c r="E2" s="18"/>
      <c r="F2" s="18"/>
      <c r="G2" s="18"/>
      <c r="H2" s="18"/>
      <c r="I2" s="18"/>
      <c r="J2" s="18"/>
      <c r="K2" s="19" t="s">
        <v>52</v>
      </c>
      <c r="L2" s="19"/>
    </row>
    <row r="3" customFormat="false" ht="25.5" hidden="false" customHeight="true" outlineLevel="0" collapsed="false">
      <c r="B3" s="17"/>
      <c r="C3" s="18"/>
      <c r="D3" s="18"/>
      <c r="E3" s="18"/>
      <c r="F3" s="18"/>
      <c r="G3" s="18"/>
      <c r="H3" s="18"/>
      <c r="I3" s="18"/>
      <c r="J3" s="18"/>
      <c r="K3" s="20" t="s">
        <v>53</v>
      </c>
      <c r="L3" s="20"/>
    </row>
    <row r="5" customFormat="false" ht="15.75" hidden="false" customHeight="true" outlineLevel="0" collapsed="false">
      <c r="B5" s="17" t="s">
        <v>54</v>
      </c>
      <c r="C5" s="17"/>
      <c r="D5" s="21" t="s">
        <v>55</v>
      </c>
      <c r="E5" s="21"/>
      <c r="F5" s="21"/>
      <c r="G5" s="21"/>
      <c r="H5" s="21"/>
      <c r="I5" s="21"/>
      <c r="J5" s="21"/>
      <c r="K5" s="21"/>
      <c r="L5" s="21"/>
    </row>
    <row r="6" customFormat="false" ht="15" hidden="false" customHeight="false" outlineLevel="0" collapsed="false">
      <c r="B6" s="22"/>
      <c r="C6" s="22"/>
      <c r="D6" s="21"/>
      <c r="E6" s="21"/>
      <c r="F6" s="21"/>
      <c r="G6" s="21"/>
      <c r="H6" s="21"/>
      <c r="I6" s="21"/>
      <c r="J6" s="21"/>
      <c r="K6" s="21"/>
      <c r="L6" s="21"/>
    </row>
    <row r="8" customFormat="false" ht="15.75" hidden="false" customHeight="true" outlineLevel="0" collapsed="false">
      <c r="B8" s="23" t="s">
        <v>56</v>
      </c>
      <c r="C8" s="23"/>
      <c r="D8" s="23"/>
      <c r="E8" s="23"/>
      <c r="F8" s="23"/>
      <c r="H8" s="24" t="s">
        <v>57</v>
      </c>
      <c r="I8" s="24"/>
      <c r="J8" s="24"/>
      <c r="K8" s="24"/>
      <c r="L8" s="24"/>
    </row>
    <row r="9" customFormat="false" ht="15" hidden="false" customHeight="true" outlineLevel="0" collapsed="false">
      <c r="B9" s="25" t="s">
        <v>58</v>
      </c>
      <c r="C9" s="25"/>
      <c r="D9" s="25"/>
      <c r="E9" s="25"/>
      <c r="F9" s="25"/>
      <c r="H9" s="21" t="s">
        <v>59</v>
      </c>
      <c r="I9" s="21"/>
      <c r="J9" s="21"/>
      <c r="K9" s="21"/>
      <c r="L9" s="21"/>
    </row>
    <row r="10" customFormat="false" ht="15" hidden="false" customHeight="true" outlineLevel="0" collapsed="false">
      <c r="B10" s="21" t="s">
        <v>60</v>
      </c>
      <c r="C10" s="21"/>
      <c r="D10" s="21"/>
      <c r="E10" s="21"/>
      <c r="F10" s="21"/>
      <c r="H10" s="21" t="s">
        <v>61</v>
      </c>
      <c r="I10" s="21"/>
      <c r="J10" s="21"/>
      <c r="K10" s="21"/>
      <c r="L10" s="21"/>
    </row>
    <row r="11" customFormat="false" ht="15" hidden="false" customHeight="true" outlineLevel="0" collapsed="false">
      <c r="B11" s="21" t="s">
        <v>62</v>
      </c>
      <c r="C11" s="21"/>
      <c r="D11" s="21"/>
      <c r="E11" s="21"/>
      <c r="F11" s="21"/>
      <c r="H11" s="21" t="s">
        <v>63</v>
      </c>
      <c r="I11" s="21"/>
      <c r="J11" s="21"/>
      <c r="K11" s="21"/>
      <c r="L11" s="21"/>
    </row>
    <row r="12" customFormat="false" ht="15" hidden="false" customHeight="true" outlineLevel="0" collapsed="false">
      <c r="B12" s="21" t="s">
        <v>64</v>
      </c>
      <c r="C12" s="21"/>
      <c r="D12" s="21"/>
      <c r="E12" s="21"/>
      <c r="F12" s="21"/>
    </row>
    <row r="13" customFormat="false" ht="43.5" hidden="false" customHeight="true" outlineLevel="0" collapsed="false">
      <c r="B13" s="26" t="s">
        <v>65</v>
      </c>
      <c r="C13" s="26"/>
      <c r="D13" s="26"/>
      <c r="E13" s="26"/>
      <c r="F13" s="26"/>
    </row>
    <row r="14" customFormat="false" ht="15" hidden="false" customHeight="true" outlineLevel="0" collapsed="false">
      <c r="B14" s="27" t="s">
        <v>66</v>
      </c>
      <c r="C14" s="27"/>
      <c r="D14" s="27"/>
      <c r="E14" s="27"/>
      <c r="F14" s="27"/>
    </row>
    <row r="15" customFormat="false" ht="15" hidden="false" customHeight="false" outlineLevel="0" collapsed="false">
      <c r="B15" s="27"/>
      <c r="C15" s="27"/>
      <c r="D15" s="27"/>
      <c r="E15" s="27"/>
      <c r="F15" s="27"/>
    </row>
    <row r="16" customFormat="false" ht="15" hidden="false" customHeight="false" outlineLevel="0" collapsed="false">
      <c r="B16" s="27"/>
      <c r="C16" s="27"/>
      <c r="D16" s="27"/>
      <c r="E16" s="27"/>
      <c r="F16" s="27"/>
    </row>
    <row r="17" customFormat="false" ht="15" hidden="false" customHeight="false" outlineLevel="0" collapsed="false">
      <c r="B17" s="27"/>
      <c r="C17" s="27"/>
      <c r="D17" s="27"/>
      <c r="E17" s="27"/>
      <c r="F17" s="27"/>
    </row>
    <row r="19" customFormat="false" ht="15.75" hidden="false" customHeight="true" outlineLevel="0" collapsed="false">
      <c r="B19" s="28" t="s">
        <v>67</v>
      </c>
      <c r="C19" s="28"/>
      <c r="D19" s="28"/>
      <c r="E19" s="28"/>
      <c r="F19" s="28"/>
      <c r="G19" s="28"/>
      <c r="H19" s="28"/>
      <c r="I19" s="28"/>
      <c r="J19" s="28"/>
      <c r="K19" s="28"/>
      <c r="L19" s="28"/>
    </row>
    <row r="20" customFormat="false" ht="31.5" hidden="false" customHeight="true" outlineLevel="0" collapsed="false">
      <c r="B20" s="29" t="s">
        <v>68</v>
      </c>
      <c r="C20" s="29"/>
      <c r="D20" s="29"/>
      <c r="E20" s="29"/>
      <c r="F20" s="29"/>
      <c r="G20" s="29"/>
      <c r="H20" s="29"/>
      <c r="I20" s="29"/>
      <c r="J20" s="29"/>
      <c r="K20" s="29"/>
      <c r="L20" s="29"/>
    </row>
    <row r="21" customFormat="false" ht="15" hidden="false" customHeight="true" outlineLevel="0" collapsed="false">
      <c r="B21" s="30" t="s">
        <v>69</v>
      </c>
      <c r="C21" s="30"/>
      <c r="D21" s="21" t="s">
        <v>70</v>
      </c>
      <c r="E21" s="21"/>
      <c r="F21" s="21"/>
      <c r="G21" s="21"/>
      <c r="H21" s="21"/>
      <c r="I21" s="21"/>
      <c r="J21" s="21"/>
      <c r="K21" s="21"/>
      <c r="L21" s="21"/>
    </row>
    <row r="22" customFormat="false" ht="15" hidden="false" customHeight="true" outlineLevel="0" collapsed="false">
      <c r="B22" s="30" t="s">
        <v>71</v>
      </c>
      <c r="C22" s="30"/>
      <c r="D22" s="21" t="s">
        <v>72</v>
      </c>
      <c r="E22" s="21"/>
      <c r="F22" s="21"/>
      <c r="G22" s="21"/>
      <c r="H22" s="21"/>
      <c r="I22" s="21"/>
      <c r="J22" s="21"/>
      <c r="K22" s="21"/>
      <c r="L22" s="21"/>
    </row>
    <row r="23" customFormat="false" ht="15" hidden="false" customHeight="true" outlineLevel="0" collapsed="false">
      <c r="B23" s="30" t="s">
        <v>73</v>
      </c>
      <c r="C23" s="30"/>
      <c r="D23" s="21" t="s">
        <v>74</v>
      </c>
      <c r="E23" s="21"/>
      <c r="F23" s="21"/>
      <c r="G23" s="21"/>
      <c r="H23" s="21"/>
      <c r="I23" s="21"/>
      <c r="J23" s="21"/>
      <c r="K23" s="21"/>
      <c r="L23" s="21"/>
    </row>
    <row r="24" customFormat="false" ht="15" hidden="false" customHeight="true" outlineLevel="0" collapsed="false">
      <c r="B24" s="30" t="s">
        <v>75</v>
      </c>
      <c r="C24" s="30"/>
      <c r="D24" s="21" t="s">
        <v>76</v>
      </c>
      <c r="E24" s="21"/>
      <c r="F24" s="21"/>
      <c r="G24" s="21"/>
      <c r="H24" s="21"/>
      <c r="I24" s="21"/>
      <c r="J24" s="21"/>
      <c r="K24" s="21"/>
      <c r="L24" s="21"/>
    </row>
    <row r="25" customFormat="false" ht="15" hidden="false" customHeight="true" outlineLevel="0" collapsed="false">
      <c r="B25" s="30" t="s">
        <v>77</v>
      </c>
      <c r="C25" s="30"/>
      <c r="D25" s="21" t="s">
        <v>78</v>
      </c>
      <c r="E25" s="21"/>
      <c r="F25" s="21"/>
      <c r="G25" s="21"/>
      <c r="H25" s="21"/>
      <c r="I25" s="21"/>
      <c r="J25" s="21"/>
      <c r="K25" s="21"/>
      <c r="L25" s="21"/>
    </row>
    <row r="26" customFormat="false" ht="15" hidden="false" customHeight="true" outlineLevel="0" collapsed="false">
      <c r="B26" s="27" t="s">
        <v>79</v>
      </c>
      <c r="C26" s="27"/>
      <c r="D26" s="27"/>
      <c r="E26" s="27"/>
      <c r="F26" s="27"/>
      <c r="G26" s="27"/>
      <c r="H26" s="27"/>
      <c r="I26" s="27"/>
      <c r="J26" s="27"/>
      <c r="K26" s="27"/>
      <c r="L26" s="27"/>
    </row>
    <row r="27" customFormat="false" ht="15" hidden="false" customHeight="false" outlineLevel="0" collapsed="false">
      <c r="B27" s="27"/>
      <c r="C27" s="27"/>
      <c r="D27" s="27"/>
      <c r="E27" s="27"/>
      <c r="F27" s="27"/>
      <c r="G27" s="27"/>
      <c r="H27" s="27"/>
      <c r="I27" s="27"/>
      <c r="J27" s="27"/>
      <c r="K27" s="27"/>
      <c r="L27" s="27"/>
    </row>
    <row r="28" customFormat="false" ht="15" hidden="false" customHeight="false" outlineLevel="0" collapsed="false">
      <c r="B28" s="27"/>
      <c r="C28" s="27"/>
      <c r="D28" s="27"/>
      <c r="E28" s="27"/>
      <c r="F28" s="27"/>
      <c r="G28" s="27"/>
      <c r="H28" s="27"/>
      <c r="I28" s="27"/>
      <c r="J28" s="27"/>
      <c r="K28" s="27"/>
      <c r="L28" s="27"/>
    </row>
    <row r="29" customFormat="false" ht="15" hidden="false" customHeight="false" outlineLevel="0" collapsed="false">
      <c r="B29" s="27"/>
      <c r="C29" s="27"/>
      <c r="D29" s="27"/>
      <c r="E29" s="27"/>
      <c r="F29" s="27"/>
      <c r="G29" s="27"/>
      <c r="H29" s="27"/>
      <c r="I29" s="27"/>
      <c r="J29" s="27"/>
      <c r="K29" s="27"/>
      <c r="L29" s="27"/>
    </row>
    <row r="31" customFormat="false" ht="28.5" hidden="false" customHeight="true" outlineLevel="0" collapsed="false">
      <c r="B31" s="23" t="s">
        <v>80</v>
      </c>
      <c r="C31" s="21" t="s">
        <v>81</v>
      </c>
      <c r="D31" s="21"/>
      <c r="E31" s="21"/>
      <c r="F31" s="22"/>
      <c r="G31" s="22"/>
      <c r="H31" s="22"/>
      <c r="I31" s="22"/>
      <c r="J31" s="22"/>
      <c r="K31" s="22"/>
      <c r="L31" s="22"/>
    </row>
    <row r="32" customFormat="false" ht="31.5" hidden="false" customHeight="true" outlineLevel="0" collapsed="false">
      <c r="B32" s="24" t="s">
        <v>82</v>
      </c>
      <c r="C32" s="31" t="s">
        <v>83</v>
      </c>
      <c r="D32" s="31"/>
      <c r="E32" s="31"/>
      <c r="F32" s="31"/>
      <c r="G32" s="31"/>
      <c r="H32" s="31"/>
      <c r="I32" s="31"/>
      <c r="J32" s="31"/>
      <c r="K32" s="31"/>
      <c r="L32" s="31"/>
    </row>
    <row r="33" customFormat="false" ht="15.75" hidden="false" customHeight="true" outlineLevel="0" collapsed="false">
      <c r="B33" s="17" t="s">
        <v>84</v>
      </c>
      <c r="C33" s="32" t="s">
        <v>85</v>
      </c>
      <c r="D33" s="32"/>
      <c r="E33" s="32"/>
      <c r="F33" s="32"/>
      <c r="G33" s="32"/>
      <c r="H33" s="32"/>
      <c r="I33" s="32"/>
      <c r="J33" s="32"/>
      <c r="K33" s="32"/>
      <c r="L33" s="32"/>
    </row>
    <row r="35" customFormat="false" ht="22.5" hidden="false" customHeight="true" outlineLevel="0" collapsed="false">
      <c r="B35" s="33" t="s">
        <v>86</v>
      </c>
      <c r="C35" s="33"/>
      <c r="D35" s="33"/>
      <c r="E35" s="33"/>
      <c r="F35" s="33"/>
      <c r="G35" s="33"/>
      <c r="H35" s="33"/>
      <c r="I35" s="33"/>
      <c r="J35" s="33"/>
      <c r="K35" s="33"/>
      <c r="L35" s="33"/>
    </row>
  </sheetData>
  <mergeCells count="35">
    <mergeCell ref="B2:B3"/>
    <mergeCell ref="C2:J3"/>
    <mergeCell ref="K2:L2"/>
    <mergeCell ref="K3:L3"/>
    <mergeCell ref="B5:C5"/>
    <mergeCell ref="D5:L6"/>
    <mergeCell ref="B6:C6"/>
    <mergeCell ref="B8:F8"/>
    <mergeCell ref="H8:L8"/>
    <mergeCell ref="B9:F9"/>
    <mergeCell ref="H9:L9"/>
    <mergeCell ref="B10:F10"/>
    <mergeCell ref="H10:L10"/>
    <mergeCell ref="B11:F11"/>
    <mergeCell ref="H11:L11"/>
    <mergeCell ref="B12:F12"/>
    <mergeCell ref="B13:F13"/>
    <mergeCell ref="B14:F17"/>
    <mergeCell ref="B19:L19"/>
    <mergeCell ref="B20:L20"/>
    <mergeCell ref="B21:C21"/>
    <mergeCell ref="D21:L21"/>
    <mergeCell ref="B22:C22"/>
    <mergeCell ref="D22:L22"/>
    <mergeCell ref="B23:C23"/>
    <mergeCell ref="D23:L23"/>
    <mergeCell ref="B24:C24"/>
    <mergeCell ref="D24:L24"/>
    <mergeCell ref="B25:C25"/>
    <mergeCell ref="D25:L25"/>
    <mergeCell ref="B26:L29"/>
    <mergeCell ref="C31:E31"/>
    <mergeCell ref="C32:L32"/>
    <mergeCell ref="C33:L33"/>
    <mergeCell ref="B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6" min="2" style="0" width="13"/>
    <col collapsed="false" customWidth="true" hidden="false" outlineLevel="0" max="7" min="7" style="0" width="3"/>
    <col collapsed="false" customWidth="true" hidden="false" outlineLevel="0" max="12" min="8" style="0" width="13"/>
    <col collapsed="false" customWidth="true" hidden="false" outlineLevel="0" max="13" min="13" style="0" width="3"/>
  </cols>
  <sheetData>
    <row r="2" customFormat="false" ht="15" hidden="false" customHeight="true" outlineLevel="0" collapsed="false">
      <c r="B2" s="17" t="s">
        <v>6</v>
      </c>
      <c r="C2" s="18" t="s">
        <v>87</v>
      </c>
      <c r="D2" s="18"/>
      <c r="E2" s="18"/>
      <c r="F2" s="18"/>
      <c r="G2" s="18"/>
      <c r="H2" s="18"/>
      <c r="I2" s="18"/>
      <c r="J2" s="18"/>
      <c r="K2" s="19" t="s">
        <v>52</v>
      </c>
      <c r="L2" s="19"/>
    </row>
    <row r="3" customFormat="false" ht="25.5" hidden="false" customHeight="true" outlineLevel="0" collapsed="false">
      <c r="B3" s="17"/>
      <c r="C3" s="18"/>
      <c r="D3" s="18"/>
      <c r="E3" s="18"/>
      <c r="F3" s="18"/>
      <c r="G3" s="18"/>
      <c r="H3" s="18"/>
      <c r="I3" s="18"/>
      <c r="J3" s="18"/>
      <c r="K3" s="20" t="s">
        <v>53</v>
      </c>
      <c r="L3" s="20"/>
    </row>
    <row r="5" customFormat="false" ht="15.75" hidden="false" customHeight="true" outlineLevel="0" collapsed="false">
      <c r="B5" s="17" t="s">
        <v>54</v>
      </c>
      <c r="C5" s="17"/>
      <c r="D5" s="21" t="s">
        <v>88</v>
      </c>
      <c r="E5" s="21"/>
      <c r="F5" s="21"/>
      <c r="G5" s="21"/>
      <c r="H5" s="21"/>
      <c r="I5" s="21"/>
      <c r="J5" s="21"/>
      <c r="K5" s="21"/>
      <c r="L5" s="21"/>
    </row>
    <row r="6" customFormat="false" ht="15" hidden="false" customHeight="false" outlineLevel="0" collapsed="false">
      <c r="B6" s="22"/>
      <c r="C6" s="22"/>
      <c r="D6" s="21"/>
      <c r="E6" s="21"/>
      <c r="F6" s="21"/>
      <c r="G6" s="21"/>
      <c r="H6" s="21"/>
      <c r="I6" s="21"/>
      <c r="J6" s="21"/>
      <c r="K6" s="21"/>
      <c r="L6" s="21"/>
    </row>
    <row r="8" customFormat="false" ht="15.75" hidden="false" customHeight="true" outlineLevel="0" collapsed="false">
      <c r="B8" s="23" t="s">
        <v>56</v>
      </c>
      <c r="C8" s="23"/>
      <c r="D8" s="23"/>
      <c r="E8" s="23"/>
      <c r="F8" s="23"/>
      <c r="H8" s="24" t="s">
        <v>57</v>
      </c>
      <c r="I8" s="24"/>
      <c r="J8" s="24"/>
      <c r="K8" s="24"/>
      <c r="L8" s="24"/>
    </row>
    <row r="9" customFormat="false" ht="15" hidden="false" customHeight="true" outlineLevel="0" collapsed="false">
      <c r="B9" s="25" t="s">
        <v>58</v>
      </c>
      <c r="C9" s="25"/>
      <c r="D9" s="25"/>
      <c r="E9" s="25"/>
      <c r="F9" s="25"/>
      <c r="H9" s="21" t="s">
        <v>89</v>
      </c>
      <c r="I9" s="21"/>
      <c r="J9" s="21"/>
      <c r="K9" s="21"/>
      <c r="L9" s="21"/>
    </row>
    <row r="10" customFormat="false" ht="15" hidden="false" customHeight="true" outlineLevel="0" collapsed="false">
      <c r="B10" s="21" t="s">
        <v>90</v>
      </c>
      <c r="C10" s="21"/>
      <c r="D10" s="21"/>
      <c r="E10" s="21"/>
      <c r="F10" s="21"/>
      <c r="H10" s="21" t="s">
        <v>91</v>
      </c>
      <c r="I10" s="21"/>
      <c r="J10" s="21"/>
      <c r="K10" s="21"/>
      <c r="L10" s="21"/>
    </row>
    <row r="11" customFormat="false" ht="15" hidden="false" customHeight="true" outlineLevel="0" collapsed="false">
      <c r="B11" s="21" t="s">
        <v>92</v>
      </c>
      <c r="C11" s="21"/>
      <c r="D11" s="21"/>
      <c r="E11" s="21"/>
      <c r="F11" s="21"/>
      <c r="H11" s="21" t="s">
        <v>93</v>
      </c>
      <c r="I11" s="21"/>
      <c r="J11" s="21"/>
      <c r="K11" s="21"/>
      <c r="L11" s="21"/>
    </row>
    <row r="12" customFormat="false" ht="15" hidden="false" customHeight="true" outlineLevel="0" collapsed="false">
      <c r="B12" s="21" t="s">
        <v>94</v>
      </c>
      <c r="C12" s="21"/>
      <c r="D12" s="21"/>
      <c r="E12" s="21"/>
      <c r="F12" s="21"/>
    </row>
    <row r="13" customFormat="false" ht="43.5" hidden="false" customHeight="true" outlineLevel="0" collapsed="false">
      <c r="B13" s="26" t="s">
        <v>95</v>
      </c>
      <c r="C13" s="26"/>
      <c r="D13" s="26"/>
      <c r="E13" s="26"/>
      <c r="F13" s="26"/>
    </row>
    <row r="14" customFormat="false" ht="15" hidden="false" customHeight="true" outlineLevel="0" collapsed="false">
      <c r="B14" s="27" t="s">
        <v>96</v>
      </c>
      <c r="C14" s="27"/>
      <c r="D14" s="27"/>
      <c r="E14" s="27"/>
      <c r="F14" s="27"/>
    </row>
    <row r="15" customFormat="false" ht="15" hidden="false" customHeight="false" outlineLevel="0" collapsed="false">
      <c r="B15" s="27"/>
      <c r="C15" s="27"/>
      <c r="D15" s="27"/>
      <c r="E15" s="27"/>
      <c r="F15" s="27"/>
    </row>
    <row r="16" customFormat="false" ht="15" hidden="false" customHeight="false" outlineLevel="0" collapsed="false">
      <c r="B16" s="27"/>
      <c r="C16" s="27"/>
      <c r="D16" s="27"/>
      <c r="E16" s="27"/>
      <c r="F16" s="27"/>
    </row>
    <row r="17" customFormat="false" ht="15" hidden="false" customHeight="false" outlineLevel="0" collapsed="false">
      <c r="B17" s="27"/>
      <c r="C17" s="27"/>
      <c r="D17" s="27"/>
      <c r="E17" s="27"/>
      <c r="F17" s="27"/>
    </row>
    <row r="19" customFormat="false" ht="15.75" hidden="false" customHeight="true" outlineLevel="0" collapsed="false">
      <c r="B19" s="28" t="s">
        <v>67</v>
      </c>
      <c r="C19" s="28"/>
      <c r="D19" s="28"/>
      <c r="E19" s="28"/>
      <c r="F19" s="28"/>
      <c r="G19" s="28"/>
      <c r="H19" s="28"/>
      <c r="I19" s="28"/>
      <c r="J19" s="28"/>
      <c r="K19" s="28"/>
      <c r="L19" s="28"/>
    </row>
    <row r="20" customFormat="false" ht="31.5" hidden="false" customHeight="true" outlineLevel="0" collapsed="false">
      <c r="B20" s="29" t="s">
        <v>97</v>
      </c>
      <c r="C20" s="29"/>
      <c r="D20" s="29"/>
      <c r="E20" s="29"/>
      <c r="F20" s="29"/>
      <c r="G20" s="29"/>
      <c r="H20" s="29"/>
      <c r="I20" s="29"/>
      <c r="J20" s="29"/>
      <c r="K20" s="29"/>
      <c r="L20" s="29"/>
    </row>
    <row r="21" customFormat="false" ht="15" hidden="false" customHeight="true" outlineLevel="0" collapsed="false">
      <c r="B21" s="30" t="s">
        <v>69</v>
      </c>
      <c r="C21" s="30"/>
      <c r="D21" s="21" t="s">
        <v>98</v>
      </c>
      <c r="E21" s="21"/>
      <c r="F21" s="21"/>
      <c r="G21" s="21"/>
      <c r="H21" s="21"/>
      <c r="I21" s="21"/>
      <c r="J21" s="21"/>
      <c r="K21" s="21"/>
      <c r="L21" s="21"/>
    </row>
    <row r="22" customFormat="false" ht="15" hidden="false" customHeight="true" outlineLevel="0" collapsed="false">
      <c r="B22" s="30" t="s">
        <v>71</v>
      </c>
      <c r="C22" s="30"/>
      <c r="D22" s="21" t="s">
        <v>99</v>
      </c>
      <c r="E22" s="21"/>
      <c r="F22" s="21"/>
      <c r="G22" s="21"/>
      <c r="H22" s="21"/>
      <c r="I22" s="21"/>
      <c r="J22" s="21"/>
      <c r="K22" s="21"/>
      <c r="L22" s="21"/>
    </row>
    <row r="23" customFormat="false" ht="15" hidden="false" customHeight="true" outlineLevel="0" collapsed="false">
      <c r="B23" s="30" t="s">
        <v>73</v>
      </c>
      <c r="C23" s="30"/>
      <c r="D23" s="21" t="s">
        <v>100</v>
      </c>
      <c r="E23" s="21"/>
      <c r="F23" s="21"/>
      <c r="G23" s="21"/>
      <c r="H23" s="21"/>
      <c r="I23" s="21"/>
      <c r="J23" s="21"/>
      <c r="K23" s="21"/>
      <c r="L23" s="21"/>
    </row>
    <row r="24" customFormat="false" ht="15" hidden="false" customHeight="true" outlineLevel="0" collapsed="false">
      <c r="B24" s="30" t="s">
        <v>75</v>
      </c>
      <c r="C24" s="30"/>
      <c r="D24" s="21" t="s">
        <v>101</v>
      </c>
      <c r="E24" s="21"/>
      <c r="F24" s="21"/>
      <c r="G24" s="21"/>
      <c r="H24" s="21"/>
      <c r="I24" s="21"/>
      <c r="J24" s="21"/>
      <c r="K24" s="21"/>
      <c r="L24" s="21"/>
    </row>
    <row r="25" customFormat="false" ht="15" hidden="false" customHeight="true" outlineLevel="0" collapsed="false">
      <c r="B25" s="30" t="s">
        <v>77</v>
      </c>
      <c r="C25" s="30"/>
      <c r="D25" s="21" t="s">
        <v>102</v>
      </c>
      <c r="E25" s="21"/>
      <c r="F25" s="21"/>
      <c r="G25" s="21"/>
      <c r="H25" s="21"/>
      <c r="I25" s="21"/>
      <c r="J25" s="21"/>
      <c r="K25" s="21"/>
      <c r="L25" s="21"/>
    </row>
    <row r="26" customFormat="false" ht="15" hidden="false" customHeight="true" outlineLevel="0" collapsed="false">
      <c r="B26" s="27" t="s">
        <v>103</v>
      </c>
      <c r="C26" s="27"/>
      <c r="D26" s="27"/>
      <c r="E26" s="27"/>
      <c r="F26" s="27"/>
      <c r="G26" s="27"/>
      <c r="H26" s="27"/>
      <c r="I26" s="27"/>
      <c r="J26" s="27"/>
      <c r="K26" s="27"/>
      <c r="L26" s="27"/>
    </row>
    <row r="27" customFormat="false" ht="15" hidden="false" customHeight="false" outlineLevel="0" collapsed="false">
      <c r="B27" s="27"/>
      <c r="C27" s="27"/>
      <c r="D27" s="27"/>
      <c r="E27" s="27"/>
      <c r="F27" s="27"/>
      <c r="G27" s="27"/>
      <c r="H27" s="27"/>
      <c r="I27" s="27"/>
      <c r="J27" s="27"/>
      <c r="K27" s="27"/>
      <c r="L27" s="27"/>
    </row>
    <row r="28" customFormat="false" ht="15" hidden="false" customHeight="false" outlineLevel="0" collapsed="false">
      <c r="B28" s="27"/>
      <c r="C28" s="27"/>
      <c r="D28" s="27"/>
      <c r="E28" s="27"/>
      <c r="F28" s="27"/>
      <c r="G28" s="27"/>
      <c r="H28" s="27"/>
      <c r="I28" s="27"/>
      <c r="J28" s="27"/>
      <c r="K28" s="27"/>
      <c r="L28" s="27"/>
    </row>
    <row r="29" customFormat="false" ht="15" hidden="false" customHeight="false" outlineLevel="0" collapsed="false">
      <c r="B29" s="27"/>
      <c r="C29" s="27"/>
      <c r="D29" s="27"/>
      <c r="E29" s="27"/>
      <c r="F29" s="27"/>
      <c r="G29" s="27"/>
      <c r="H29" s="27"/>
      <c r="I29" s="27"/>
      <c r="J29" s="27"/>
      <c r="K29" s="27"/>
      <c r="L29" s="27"/>
    </row>
    <row r="31" customFormat="false" ht="28.5" hidden="false" customHeight="true" outlineLevel="0" collapsed="false">
      <c r="B31" s="23" t="s">
        <v>80</v>
      </c>
      <c r="C31" s="21" t="s">
        <v>104</v>
      </c>
      <c r="D31" s="21"/>
      <c r="E31" s="21"/>
      <c r="F31" s="22"/>
      <c r="G31" s="22"/>
      <c r="H31" s="22"/>
      <c r="I31" s="22"/>
      <c r="J31" s="22"/>
      <c r="K31" s="22"/>
      <c r="L31" s="22"/>
    </row>
    <row r="32" customFormat="false" ht="31.5" hidden="false" customHeight="true" outlineLevel="0" collapsed="false">
      <c r="B32" s="24" t="s">
        <v>82</v>
      </c>
      <c r="C32" s="31" t="s">
        <v>105</v>
      </c>
      <c r="D32" s="31"/>
      <c r="E32" s="31"/>
      <c r="F32" s="31"/>
      <c r="G32" s="31"/>
      <c r="H32" s="31"/>
      <c r="I32" s="31"/>
      <c r="J32" s="31"/>
      <c r="K32" s="31"/>
      <c r="L32" s="31"/>
    </row>
    <row r="33" customFormat="false" ht="15.75" hidden="false" customHeight="true" outlineLevel="0" collapsed="false">
      <c r="B33" s="17" t="s">
        <v>84</v>
      </c>
      <c r="C33" s="32" t="s">
        <v>106</v>
      </c>
      <c r="D33" s="32"/>
      <c r="E33" s="32"/>
      <c r="F33" s="32"/>
      <c r="G33" s="32"/>
      <c r="H33" s="32"/>
      <c r="I33" s="32"/>
      <c r="J33" s="32"/>
      <c r="K33" s="32"/>
      <c r="L33" s="32"/>
    </row>
    <row r="35" customFormat="false" ht="22.5" hidden="false" customHeight="true" outlineLevel="0" collapsed="false">
      <c r="B35" s="33" t="s">
        <v>86</v>
      </c>
      <c r="C35" s="33"/>
      <c r="D35" s="33"/>
      <c r="E35" s="33"/>
      <c r="F35" s="33"/>
      <c r="G35" s="33"/>
      <c r="H35" s="33"/>
      <c r="I35" s="33"/>
      <c r="J35" s="33"/>
      <c r="K35" s="33"/>
      <c r="L35" s="33"/>
    </row>
  </sheetData>
  <mergeCells count="35">
    <mergeCell ref="B2:B3"/>
    <mergeCell ref="C2:J3"/>
    <mergeCell ref="K2:L2"/>
    <mergeCell ref="K3:L3"/>
    <mergeCell ref="B5:C5"/>
    <mergeCell ref="D5:L6"/>
    <mergeCell ref="B6:C6"/>
    <mergeCell ref="B8:F8"/>
    <mergeCell ref="H8:L8"/>
    <mergeCell ref="B9:F9"/>
    <mergeCell ref="H9:L9"/>
    <mergeCell ref="B10:F10"/>
    <mergeCell ref="H10:L10"/>
    <mergeCell ref="B11:F11"/>
    <mergeCell ref="H11:L11"/>
    <mergeCell ref="B12:F12"/>
    <mergeCell ref="B13:F13"/>
    <mergeCell ref="B14:F17"/>
    <mergeCell ref="B19:L19"/>
    <mergeCell ref="B20:L20"/>
    <mergeCell ref="B21:C21"/>
    <mergeCell ref="D21:L21"/>
    <mergeCell ref="B22:C22"/>
    <mergeCell ref="D22:L22"/>
    <mergeCell ref="B23:C23"/>
    <mergeCell ref="D23:L23"/>
    <mergeCell ref="B24:C24"/>
    <mergeCell ref="D24:L24"/>
    <mergeCell ref="B25:C25"/>
    <mergeCell ref="D25:L25"/>
    <mergeCell ref="B26:L29"/>
    <mergeCell ref="C31:E31"/>
    <mergeCell ref="C32:L32"/>
    <mergeCell ref="C33:L33"/>
    <mergeCell ref="B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6" min="2" style="0" width="13"/>
    <col collapsed="false" customWidth="true" hidden="false" outlineLevel="0" max="7" min="7" style="0" width="3"/>
    <col collapsed="false" customWidth="true" hidden="false" outlineLevel="0" max="12" min="8" style="0" width="13"/>
    <col collapsed="false" customWidth="true" hidden="false" outlineLevel="0" max="13" min="13" style="0" width="3"/>
  </cols>
  <sheetData>
    <row r="2" customFormat="false" ht="15" hidden="false" customHeight="true" outlineLevel="0" collapsed="false">
      <c r="B2" s="17" t="s">
        <v>6</v>
      </c>
      <c r="C2" s="18" t="s">
        <v>107</v>
      </c>
      <c r="D2" s="18"/>
      <c r="E2" s="18"/>
      <c r="F2" s="18"/>
      <c r="G2" s="18"/>
      <c r="H2" s="18"/>
      <c r="I2" s="18"/>
      <c r="J2" s="18"/>
      <c r="K2" s="19" t="s">
        <v>52</v>
      </c>
      <c r="L2" s="19"/>
    </row>
    <row r="3" customFormat="false" ht="25.5" hidden="false" customHeight="true" outlineLevel="0" collapsed="false">
      <c r="B3" s="17"/>
      <c r="C3" s="18"/>
      <c r="D3" s="18"/>
      <c r="E3" s="18"/>
      <c r="F3" s="18"/>
      <c r="G3" s="18"/>
      <c r="H3" s="18"/>
      <c r="I3" s="18"/>
      <c r="J3" s="18"/>
      <c r="K3" s="20" t="s">
        <v>53</v>
      </c>
      <c r="L3" s="20"/>
    </row>
    <row r="5" customFormat="false" ht="15.75" hidden="false" customHeight="true" outlineLevel="0" collapsed="false">
      <c r="B5" s="17" t="s">
        <v>54</v>
      </c>
      <c r="C5" s="17"/>
      <c r="D5" s="21" t="s">
        <v>108</v>
      </c>
      <c r="E5" s="21"/>
      <c r="F5" s="21"/>
      <c r="G5" s="21"/>
      <c r="H5" s="21"/>
      <c r="I5" s="21"/>
      <c r="J5" s="21"/>
      <c r="K5" s="21"/>
      <c r="L5" s="21"/>
    </row>
    <row r="6" customFormat="false" ht="15" hidden="false" customHeight="false" outlineLevel="0" collapsed="false">
      <c r="B6" s="22"/>
      <c r="C6" s="22"/>
      <c r="D6" s="21"/>
      <c r="E6" s="21"/>
      <c r="F6" s="21"/>
      <c r="G6" s="21"/>
      <c r="H6" s="21"/>
      <c r="I6" s="21"/>
      <c r="J6" s="21"/>
      <c r="K6" s="21"/>
      <c r="L6" s="21"/>
    </row>
    <row r="8" customFormat="false" ht="15.75" hidden="false" customHeight="true" outlineLevel="0" collapsed="false">
      <c r="B8" s="23" t="s">
        <v>56</v>
      </c>
      <c r="C8" s="23"/>
      <c r="D8" s="23"/>
      <c r="E8" s="23"/>
      <c r="F8" s="23"/>
      <c r="H8" s="24" t="s">
        <v>57</v>
      </c>
      <c r="I8" s="24"/>
      <c r="J8" s="24"/>
      <c r="K8" s="24"/>
      <c r="L8" s="24"/>
    </row>
    <row r="9" customFormat="false" ht="15" hidden="false" customHeight="true" outlineLevel="0" collapsed="false">
      <c r="B9" s="25" t="s">
        <v>58</v>
      </c>
      <c r="C9" s="25"/>
      <c r="D9" s="25"/>
      <c r="E9" s="25"/>
      <c r="F9" s="25"/>
      <c r="H9" s="21" t="s">
        <v>109</v>
      </c>
      <c r="I9" s="21"/>
      <c r="J9" s="21"/>
      <c r="K9" s="21"/>
      <c r="L9" s="21"/>
    </row>
    <row r="10" customFormat="false" ht="15" hidden="false" customHeight="true" outlineLevel="0" collapsed="false">
      <c r="B10" s="21" t="s">
        <v>110</v>
      </c>
      <c r="C10" s="21"/>
      <c r="D10" s="21"/>
      <c r="E10" s="21"/>
      <c r="F10" s="21"/>
      <c r="H10" s="21" t="s">
        <v>111</v>
      </c>
      <c r="I10" s="21"/>
      <c r="J10" s="21"/>
      <c r="K10" s="21"/>
      <c r="L10" s="21"/>
    </row>
    <row r="11" customFormat="false" ht="15" hidden="false" customHeight="true" outlineLevel="0" collapsed="false">
      <c r="B11" s="21" t="s">
        <v>112</v>
      </c>
      <c r="C11" s="21"/>
      <c r="D11" s="21"/>
      <c r="E11" s="21"/>
      <c r="F11" s="21"/>
      <c r="H11" s="21" t="s">
        <v>113</v>
      </c>
      <c r="I11" s="21"/>
      <c r="J11" s="21"/>
      <c r="K11" s="21"/>
      <c r="L11" s="21"/>
    </row>
    <row r="12" customFormat="false" ht="15" hidden="false" customHeight="true" outlineLevel="0" collapsed="false">
      <c r="B12" s="21" t="s">
        <v>114</v>
      </c>
      <c r="C12" s="21"/>
      <c r="D12" s="21"/>
      <c r="E12" s="21"/>
      <c r="F12" s="21"/>
    </row>
    <row r="13" customFormat="false" ht="28.5" hidden="false" customHeight="true" outlineLevel="0" collapsed="false">
      <c r="B13" s="26" t="s">
        <v>115</v>
      </c>
      <c r="C13" s="26"/>
      <c r="D13" s="26"/>
      <c r="E13" s="26"/>
      <c r="F13" s="26"/>
    </row>
    <row r="14" customFormat="false" ht="15" hidden="false" customHeight="true" outlineLevel="0" collapsed="false">
      <c r="B14" s="27" t="s">
        <v>116</v>
      </c>
      <c r="C14" s="27"/>
      <c r="D14" s="27"/>
      <c r="E14" s="27"/>
      <c r="F14" s="27"/>
    </row>
    <row r="15" customFormat="false" ht="15" hidden="false" customHeight="false" outlineLevel="0" collapsed="false">
      <c r="B15" s="27"/>
      <c r="C15" s="27"/>
      <c r="D15" s="27"/>
      <c r="E15" s="27"/>
      <c r="F15" s="27"/>
    </row>
    <row r="16" customFormat="false" ht="15" hidden="false" customHeight="false" outlineLevel="0" collapsed="false">
      <c r="B16" s="27"/>
      <c r="C16" s="27"/>
      <c r="D16" s="27"/>
      <c r="E16" s="27"/>
      <c r="F16" s="27"/>
    </row>
    <row r="17" customFormat="false" ht="15" hidden="false" customHeight="false" outlineLevel="0" collapsed="false">
      <c r="B17" s="27"/>
      <c r="C17" s="27"/>
      <c r="D17" s="27"/>
      <c r="E17" s="27"/>
      <c r="F17" s="27"/>
    </row>
    <row r="19" customFormat="false" ht="15.75" hidden="false" customHeight="true" outlineLevel="0" collapsed="false">
      <c r="B19" s="28" t="s">
        <v>67</v>
      </c>
      <c r="C19" s="28"/>
      <c r="D19" s="28"/>
      <c r="E19" s="28"/>
      <c r="F19" s="28"/>
      <c r="G19" s="28"/>
      <c r="H19" s="28"/>
      <c r="I19" s="28"/>
      <c r="J19" s="28"/>
      <c r="K19" s="28"/>
      <c r="L19" s="28"/>
    </row>
    <row r="20" customFormat="false" ht="15.75" hidden="false" customHeight="true" outlineLevel="0" collapsed="false">
      <c r="B20" s="29" t="s">
        <v>117</v>
      </c>
      <c r="C20" s="29"/>
      <c r="D20" s="29"/>
      <c r="E20" s="29"/>
      <c r="F20" s="29"/>
      <c r="G20" s="29"/>
      <c r="H20" s="29"/>
      <c r="I20" s="29"/>
      <c r="J20" s="29"/>
      <c r="K20" s="29"/>
      <c r="L20" s="29"/>
    </row>
    <row r="21" customFormat="false" ht="15" hidden="false" customHeight="true" outlineLevel="0" collapsed="false">
      <c r="B21" s="30" t="s">
        <v>69</v>
      </c>
      <c r="C21" s="30"/>
      <c r="D21" s="21" t="s">
        <v>118</v>
      </c>
      <c r="E21" s="21"/>
      <c r="F21" s="21"/>
      <c r="G21" s="21"/>
      <c r="H21" s="21"/>
      <c r="I21" s="21"/>
      <c r="J21" s="21"/>
      <c r="K21" s="21"/>
      <c r="L21" s="21"/>
    </row>
    <row r="22" customFormat="false" ht="15" hidden="false" customHeight="true" outlineLevel="0" collapsed="false">
      <c r="B22" s="30" t="s">
        <v>71</v>
      </c>
      <c r="C22" s="30"/>
      <c r="D22" s="21" t="s">
        <v>119</v>
      </c>
      <c r="E22" s="21"/>
      <c r="F22" s="21"/>
      <c r="G22" s="21"/>
      <c r="H22" s="21"/>
      <c r="I22" s="21"/>
      <c r="J22" s="21"/>
      <c r="K22" s="21"/>
      <c r="L22" s="21"/>
    </row>
    <row r="23" customFormat="false" ht="15" hidden="false" customHeight="true" outlineLevel="0" collapsed="false">
      <c r="B23" s="30" t="s">
        <v>73</v>
      </c>
      <c r="C23" s="30"/>
      <c r="D23" s="21" t="s">
        <v>120</v>
      </c>
      <c r="E23" s="21"/>
      <c r="F23" s="21"/>
      <c r="G23" s="21"/>
      <c r="H23" s="21"/>
      <c r="I23" s="21"/>
      <c r="J23" s="21"/>
      <c r="K23" s="21"/>
      <c r="L23" s="21"/>
    </row>
    <row r="24" customFormat="false" ht="15" hidden="false" customHeight="true" outlineLevel="0" collapsed="false">
      <c r="B24" s="30" t="s">
        <v>75</v>
      </c>
      <c r="C24" s="30"/>
      <c r="D24" s="21" t="s">
        <v>121</v>
      </c>
      <c r="E24" s="21"/>
      <c r="F24" s="21"/>
      <c r="G24" s="21"/>
      <c r="H24" s="21"/>
      <c r="I24" s="21"/>
      <c r="J24" s="21"/>
      <c r="K24" s="21"/>
      <c r="L24" s="21"/>
    </row>
    <row r="25" customFormat="false" ht="15" hidden="false" customHeight="true" outlineLevel="0" collapsed="false">
      <c r="B25" s="30" t="s">
        <v>77</v>
      </c>
      <c r="C25" s="30"/>
      <c r="D25" s="21" t="s">
        <v>122</v>
      </c>
      <c r="E25" s="21"/>
      <c r="F25" s="21"/>
      <c r="G25" s="21"/>
      <c r="H25" s="21"/>
      <c r="I25" s="21"/>
      <c r="J25" s="21"/>
      <c r="K25" s="21"/>
      <c r="L25" s="21"/>
    </row>
    <row r="26" customFormat="false" ht="15" hidden="false" customHeight="true" outlineLevel="0" collapsed="false">
      <c r="B26" s="27" t="s">
        <v>123</v>
      </c>
      <c r="C26" s="27"/>
      <c r="D26" s="27"/>
      <c r="E26" s="27"/>
      <c r="F26" s="27"/>
      <c r="G26" s="27"/>
      <c r="H26" s="27"/>
      <c r="I26" s="27"/>
      <c r="J26" s="27"/>
      <c r="K26" s="27"/>
      <c r="L26" s="27"/>
    </row>
    <row r="27" customFormat="false" ht="15" hidden="false" customHeight="false" outlineLevel="0" collapsed="false">
      <c r="B27" s="27"/>
      <c r="C27" s="27"/>
      <c r="D27" s="27"/>
      <c r="E27" s="27"/>
      <c r="F27" s="27"/>
      <c r="G27" s="27"/>
      <c r="H27" s="27"/>
      <c r="I27" s="27"/>
      <c r="J27" s="27"/>
      <c r="K27" s="27"/>
      <c r="L27" s="27"/>
    </row>
    <row r="28" customFormat="false" ht="15" hidden="false" customHeight="false" outlineLevel="0" collapsed="false">
      <c r="B28" s="27"/>
      <c r="C28" s="27"/>
      <c r="D28" s="27"/>
      <c r="E28" s="27"/>
      <c r="F28" s="27"/>
      <c r="G28" s="27"/>
      <c r="H28" s="27"/>
      <c r="I28" s="27"/>
      <c r="J28" s="27"/>
      <c r="K28" s="27"/>
      <c r="L28" s="27"/>
    </row>
    <row r="29" customFormat="false" ht="15" hidden="false" customHeight="false" outlineLevel="0" collapsed="false">
      <c r="B29" s="27"/>
      <c r="C29" s="27"/>
      <c r="D29" s="27"/>
      <c r="E29" s="27"/>
      <c r="F29" s="27"/>
      <c r="G29" s="27"/>
      <c r="H29" s="27"/>
      <c r="I29" s="27"/>
      <c r="J29" s="27"/>
      <c r="K29" s="27"/>
      <c r="L29" s="27"/>
    </row>
    <row r="31" customFormat="false" ht="28.5" hidden="false" customHeight="true" outlineLevel="0" collapsed="false">
      <c r="B31" s="23" t="s">
        <v>80</v>
      </c>
      <c r="C31" s="21" t="s">
        <v>124</v>
      </c>
      <c r="D31" s="21"/>
      <c r="E31" s="21"/>
      <c r="F31" s="22"/>
      <c r="G31" s="22"/>
      <c r="H31" s="22"/>
      <c r="I31" s="22"/>
      <c r="J31" s="22"/>
      <c r="K31" s="22"/>
      <c r="L31" s="22"/>
    </row>
    <row r="32" customFormat="false" ht="15.75" hidden="false" customHeight="true" outlineLevel="0" collapsed="false">
      <c r="B32" s="24" t="s">
        <v>82</v>
      </c>
      <c r="C32" s="31" t="s">
        <v>125</v>
      </c>
      <c r="D32" s="31"/>
      <c r="E32" s="31"/>
      <c r="F32" s="31"/>
      <c r="G32" s="31"/>
      <c r="H32" s="31"/>
      <c r="I32" s="31"/>
      <c r="J32" s="31"/>
      <c r="K32" s="31"/>
      <c r="L32" s="31"/>
    </row>
    <row r="33" customFormat="false" ht="15.75" hidden="false" customHeight="true" outlineLevel="0" collapsed="false">
      <c r="B33" s="17" t="s">
        <v>84</v>
      </c>
      <c r="C33" s="32" t="s">
        <v>126</v>
      </c>
      <c r="D33" s="32"/>
      <c r="E33" s="32"/>
      <c r="F33" s="32"/>
      <c r="G33" s="32"/>
      <c r="H33" s="32"/>
      <c r="I33" s="32"/>
      <c r="J33" s="32"/>
      <c r="K33" s="32"/>
      <c r="L33" s="32"/>
    </row>
    <row r="35" customFormat="false" ht="22.5" hidden="false" customHeight="true" outlineLevel="0" collapsed="false">
      <c r="B35" s="33" t="s">
        <v>86</v>
      </c>
      <c r="C35" s="33"/>
      <c r="D35" s="33"/>
      <c r="E35" s="33"/>
      <c r="F35" s="33"/>
      <c r="G35" s="33"/>
      <c r="H35" s="33"/>
      <c r="I35" s="33"/>
      <c r="J35" s="33"/>
      <c r="K35" s="33"/>
      <c r="L35" s="33"/>
    </row>
  </sheetData>
  <mergeCells count="35">
    <mergeCell ref="B2:B3"/>
    <mergeCell ref="C2:J3"/>
    <mergeCell ref="K2:L2"/>
    <mergeCell ref="K3:L3"/>
    <mergeCell ref="B5:C5"/>
    <mergeCell ref="D5:L6"/>
    <mergeCell ref="B6:C6"/>
    <mergeCell ref="B8:F8"/>
    <mergeCell ref="H8:L8"/>
    <mergeCell ref="B9:F9"/>
    <mergeCell ref="H9:L9"/>
    <mergeCell ref="B10:F10"/>
    <mergeCell ref="H10:L10"/>
    <mergeCell ref="B11:F11"/>
    <mergeCell ref="H11:L11"/>
    <mergeCell ref="B12:F12"/>
    <mergeCell ref="B13:F13"/>
    <mergeCell ref="B14:F17"/>
    <mergeCell ref="B19:L19"/>
    <mergeCell ref="B20:L20"/>
    <mergeCell ref="B21:C21"/>
    <mergeCell ref="D21:L21"/>
    <mergeCell ref="B22:C22"/>
    <mergeCell ref="D22:L22"/>
    <mergeCell ref="B23:C23"/>
    <mergeCell ref="D23:L23"/>
    <mergeCell ref="B24:C24"/>
    <mergeCell ref="D24:L24"/>
    <mergeCell ref="B25:C25"/>
    <mergeCell ref="D25:L25"/>
    <mergeCell ref="B26:L29"/>
    <mergeCell ref="C31:E31"/>
    <mergeCell ref="C32:L32"/>
    <mergeCell ref="C33:L33"/>
    <mergeCell ref="B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6" min="2" style="0" width="13"/>
    <col collapsed="false" customWidth="true" hidden="false" outlineLevel="0" max="7" min="7" style="0" width="3"/>
    <col collapsed="false" customWidth="true" hidden="false" outlineLevel="0" max="12" min="8" style="0" width="13"/>
    <col collapsed="false" customWidth="true" hidden="false" outlineLevel="0" max="13" min="13" style="0" width="3"/>
  </cols>
  <sheetData>
    <row r="2" customFormat="false" ht="15" hidden="false" customHeight="true" outlineLevel="0" collapsed="false">
      <c r="B2" s="17" t="s">
        <v>6</v>
      </c>
      <c r="C2" s="18" t="s">
        <v>127</v>
      </c>
      <c r="D2" s="18"/>
      <c r="E2" s="18"/>
      <c r="F2" s="18"/>
      <c r="G2" s="18"/>
      <c r="H2" s="18"/>
      <c r="I2" s="18"/>
      <c r="J2" s="18"/>
      <c r="K2" s="19" t="s">
        <v>52</v>
      </c>
      <c r="L2" s="19"/>
    </row>
    <row r="3" customFormat="false" ht="25.5" hidden="false" customHeight="true" outlineLevel="0" collapsed="false">
      <c r="B3" s="17"/>
      <c r="C3" s="18"/>
      <c r="D3" s="18"/>
      <c r="E3" s="18"/>
      <c r="F3" s="18"/>
      <c r="G3" s="18"/>
      <c r="H3" s="18"/>
      <c r="I3" s="18"/>
      <c r="J3" s="18"/>
      <c r="K3" s="20" t="s">
        <v>53</v>
      </c>
      <c r="L3" s="20"/>
    </row>
    <row r="5" customFormat="false" ht="15.75" hidden="false" customHeight="true" outlineLevel="0" collapsed="false">
      <c r="B5" s="17" t="s">
        <v>54</v>
      </c>
      <c r="C5" s="17"/>
      <c r="D5" s="21" t="s">
        <v>128</v>
      </c>
      <c r="E5" s="21"/>
      <c r="F5" s="21"/>
      <c r="G5" s="21"/>
      <c r="H5" s="21"/>
      <c r="I5" s="21"/>
      <c r="J5" s="21"/>
      <c r="K5" s="21"/>
      <c r="L5" s="21"/>
    </row>
    <row r="6" customFormat="false" ht="15" hidden="false" customHeight="false" outlineLevel="0" collapsed="false">
      <c r="B6" s="22"/>
      <c r="C6" s="22"/>
      <c r="D6" s="21"/>
      <c r="E6" s="21"/>
      <c r="F6" s="21"/>
      <c r="G6" s="21"/>
      <c r="H6" s="21"/>
      <c r="I6" s="21"/>
      <c r="J6" s="21"/>
      <c r="K6" s="21"/>
      <c r="L6" s="21"/>
    </row>
    <row r="8" customFormat="false" ht="15.75" hidden="false" customHeight="true" outlineLevel="0" collapsed="false">
      <c r="B8" s="23" t="s">
        <v>56</v>
      </c>
      <c r="C8" s="23"/>
      <c r="D8" s="23"/>
      <c r="E8" s="23"/>
      <c r="F8" s="23"/>
      <c r="H8" s="24" t="s">
        <v>57</v>
      </c>
      <c r="I8" s="24"/>
      <c r="J8" s="24"/>
      <c r="K8" s="24"/>
      <c r="L8" s="24"/>
    </row>
    <row r="9" customFormat="false" ht="15" hidden="false" customHeight="true" outlineLevel="0" collapsed="false">
      <c r="B9" s="25" t="s">
        <v>58</v>
      </c>
      <c r="C9" s="25"/>
      <c r="D9" s="25"/>
      <c r="E9" s="25"/>
      <c r="F9" s="25"/>
      <c r="H9" s="21" t="s">
        <v>129</v>
      </c>
      <c r="I9" s="21"/>
      <c r="J9" s="21"/>
      <c r="K9" s="21"/>
      <c r="L9" s="21"/>
    </row>
    <row r="10" customFormat="false" ht="15" hidden="false" customHeight="true" outlineLevel="0" collapsed="false">
      <c r="B10" s="21" t="s">
        <v>130</v>
      </c>
      <c r="C10" s="21"/>
      <c r="D10" s="21"/>
      <c r="E10" s="21"/>
      <c r="F10" s="21"/>
      <c r="H10" s="21" t="s">
        <v>131</v>
      </c>
      <c r="I10" s="21"/>
      <c r="J10" s="21"/>
      <c r="K10" s="21"/>
      <c r="L10" s="21"/>
    </row>
    <row r="11" customFormat="false" ht="15" hidden="false" customHeight="true" outlineLevel="0" collapsed="false">
      <c r="B11" s="21" t="s">
        <v>132</v>
      </c>
      <c r="C11" s="21"/>
      <c r="D11" s="21"/>
      <c r="E11" s="21"/>
      <c r="F11" s="21"/>
      <c r="H11" s="21" t="s">
        <v>133</v>
      </c>
      <c r="I11" s="21"/>
      <c r="J11" s="21"/>
      <c r="K11" s="21"/>
      <c r="L11" s="21"/>
    </row>
    <row r="12" customFormat="false" ht="15" hidden="false" customHeight="true" outlineLevel="0" collapsed="false">
      <c r="B12" s="21" t="s">
        <v>134</v>
      </c>
      <c r="C12" s="21"/>
      <c r="D12" s="21"/>
      <c r="E12" s="21"/>
      <c r="F12" s="21"/>
    </row>
    <row r="13" customFormat="false" ht="28.5" hidden="false" customHeight="true" outlineLevel="0" collapsed="false">
      <c r="B13" s="26" t="s">
        <v>135</v>
      </c>
      <c r="C13" s="26"/>
      <c r="D13" s="26"/>
      <c r="E13" s="26"/>
      <c r="F13" s="26"/>
    </row>
    <row r="14" customFormat="false" ht="15" hidden="false" customHeight="true" outlineLevel="0" collapsed="false">
      <c r="B14" s="27" t="s">
        <v>136</v>
      </c>
      <c r="C14" s="27"/>
      <c r="D14" s="27"/>
      <c r="E14" s="27"/>
      <c r="F14" s="27"/>
    </row>
    <row r="15" customFormat="false" ht="15" hidden="false" customHeight="false" outlineLevel="0" collapsed="false">
      <c r="B15" s="27"/>
      <c r="C15" s="27"/>
      <c r="D15" s="27"/>
      <c r="E15" s="27"/>
      <c r="F15" s="27"/>
    </row>
    <row r="16" customFormat="false" ht="15" hidden="false" customHeight="false" outlineLevel="0" collapsed="false">
      <c r="B16" s="27"/>
      <c r="C16" s="27"/>
      <c r="D16" s="27"/>
      <c r="E16" s="27"/>
      <c r="F16" s="27"/>
    </row>
    <row r="17" customFormat="false" ht="15" hidden="false" customHeight="false" outlineLevel="0" collapsed="false">
      <c r="B17" s="27"/>
      <c r="C17" s="27"/>
      <c r="D17" s="27"/>
      <c r="E17" s="27"/>
      <c r="F17" s="27"/>
    </row>
    <row r="19" customFormat="false" ht="15.75" hidden="false" customHeight="true" outlineLevel="0" collapsed="false">
      <c r="B19" s="28" t="s">
        <v>67</v>
      </c>
      <c r="C19" s="28"/>
      <c r="D19" s="28"/>
      <c r="E19" s="28"/>
      <c r="F19" s="28"/>
      <c r="G19" s="28"/>
      <c r="H19" s="28"/>
      <c r="I19" s="28"/>
      <c r="J19" s="28"/>
      <c r="K19" s="28"/>
      <c r="L19" s="28"/>
    </row>
    <row r="20" customFormat="false" ht="31.5" hidden="false" customHeight="true" outlineLevel="0" collapsed="false">
      <c r="B20" s="29" t="s">
        <v>137</v>
      </c>
      <c r="C20" s="29"/>
      <c r="D20" s="29"/>
      <c r="E20" s="29"/>
      <c r="F20" s="29"/>
      <c r="G20" s="29"/>
      <c r="H20" s="29"/>
      <c r="I20" s="29"/>
      <c r="J20" s="29"/>
      <c r="K20" s="29"/>
      <c r="L20" s="29"/>
    </row>
    <row r="21" customFormat="false" ht="15" hidden="false" customHeight="true" outlineLevel="0" collapsed="false">
      <c r="B21" s="30" t="s">
        <v>69</v>
      </c>
      <c r="C21" s="30"/>
      <c r="D21" s="21" t="s">
        <v>138</v>
      </c>
      <c r="E21" s="21"/>
      <c r="F21" s="21"/>
      <c r="G21" s="21"/>
      <c r="H21" s="21"/>
      <c r="I21" s="21"/>
      <c r="J21" s="21"/>
      <c r="K21" s="21"/>
      <c r="L21" s="21"/>
    </row>
    <row r="22" customFormat="false" ht="15" hidden="false" customHeight="true" outlineLevel="0" collapsed="false">
      <c r="B22" s="30" t="s">
        <v>71</v>
      </c>
      <c r="C22" s="30"/>
      <c r="D22" s="21" t="s">
        <v>139</v>
      </c>
      <c r="E22" s="21"/>
      <c r="F22" s="21"/>
      <c r="G22" s="21"/>
      <c r="H22" s="21"/>
      <c r="I22" s="21"/>
      <c r="J22" s="21"/>
      <c r="K22" s="21"/>
      <c r="L22" s="21"/>
    </row>
    <row r="23" customFormat="false" ht="15" hidden="false" customHeight="true" outlineLevel="0" collapsed="false">
      <c r="B23" s="30" t="s">
        <v>73</v>
      </c>
      <c r="C23" s="30"/>
      <c r="D23" s="21" t="s">
        <v>140</v>
      </c>
      <c r="E23" s="21"/>
      <c r="F23" s="21"/>
      <c r="G23" s="21"/>
      <c r="H23" s="21"/>
      <c r="I23" s="21"/>
      <c r="J23" s="21"/>
      <c r="K23" s="21"/>
      <c r="L23" s="21"/>
    </row>
    <row r="24" customFormat="false" ht="15" hidden="false" customHeight="true" outlineLevel="0" collapsed="false">
      <c r="B24" s="30" t="s">
        <v>75</v>
      </c>
      <c r="C24" s="30"/>
      <c r="D24" s="21" t="s">
        <v>141</v>
      </c>
      <c r="E24" s="21"/>
      <c r="F24" s="21"/>
      <c r="G24" s="21"/>
      <c r="H24" s="21"/>
      <c r="I24" s="21"/>
      <c r="J24" s="21"/>
      <c r="K24" s="21"/>
      <c r="L24" s="21"/>
    </row>
    <row r="25" customFormat="false" ht="15" hidden="false" customHeight="true" outlineLevel="0" collapsed="false">
      <c r="B25" s="30" t="s">
        <v>77</v>
      </c>
      <c r="C25" s="30"/>
      <c r="D25" s="21" t="s">
        <v>142</v>
      </c>
      <c r="E25" s="21"/>
      <c r="F25" s="21"/>
      <c r="G25" s="21"/>
      <c r="H25" s="21"/>
      <c r="I25" s="21"/>
      <c r="J25" s="21"/>
      <c r="K25" s="21"/>
      <c r="L25" s="21"/>
    </row>
    <row r="26" customFormat="false" ht="15" hidden="false" customHeight="true" outlineLevel="0" collapsed="false">
      <c r="B26" s="27" t="s">
        <v>143</v>
      </c>
      <c r="C26" s="27"/>
      <c r="D26" s="27"/>
      <c r="E26" s="27"/>
      <c r="F26" s="27"/>
      <c r="G26" s="27"/>
      <c r="H26" s="27"/>
      <c r="I26" s="27"/>
      <c r="J26" s="27"/>
      <c r="K26" s="27"/>
      <c r="L26" s="27"/>
    </row>
    <row r="27" customFormat="false" ht="15" hidden="false" customHeight="false" outlineLevel="0" collapsed="false">
      <c r="B27" s="27"/>
      <c r="C27" s="27"/>
      <c r="D27" s="27"/>
      <c r="E27" s="27"/>
      <c r="F27" s="27"/>
      <c r="G27" s="27"/>
      <c r="H27" s="27"/>
      <c r="I27" s="27"/>
      <c r="J27" s="27"/>
      <c r="K27" s="27"/>
      <c r="L27" s="27"/>
    </row>
    <row r="28" customFormat="false" ht="15" hidden="false" customHeight="false" outlineLevel="0" collapsed="false">
      <c r="B28" s="27"/>
      <c r="C28" s="27"/>
      <c r="D28" s="27"/>
      <c r="E28" s="27"/>
      <c r="F28" s="27"/>
      <c r="G28" s="27"/>
      <c r="H28" s="27"/>
      <c r="I28" s="27"/>
      <c r="J28" s="27"/>
      <c r="K28" s="27"/>
      <c r="L28" s="27"/>
    </row>
    <row r="29" customFormat="false" ht="15" hidden="false" customHeight="false" outlineLevel="0" collapsed="false">
      <c r="B29" s="27"/>
      <c r="C29" s="27"/>
      <c r="D29" s="27"/>
      <c r="E29" s="27"/>
      <c r="F29" s="27"/>
      <c r="G29" s="27"/>
      <c r="H29" s="27"/>
      <c r="I29" s="27"/>
      <c r="J29" s="27"/>
      <c r="K29" s="27"/>
      <c r="L29" s="27"/>
    </row>
    <row r="31" customFormat="false" ht="28.5" hidden="false" customHeight="true" outlineLevel="0" collapsed="false">
      <c r="B31" s="23" t="s">
        <v>80</v>
      </c>
      <c r="C31" s="21" t="s">
        <v>144</v>
      </c>
      <c r="D31" s="21"/>
      <c r="E31" s="21"/>
      <c r="F31" s="22"/>
      <c r="G31" s="22"/>
      <c r="H31" s="22"/>
      <c r="I31" s="22"/>
      <c r="J31" s="22"/>
      <c r="K31" s="22"/>
      <c r="L31" s="22"/>
    </row>
    <row r="32" customFormat="false" ht="31.5" hidden="false" customHeight="true" outlineLevel="0" collapsed="false">
      <c r="B32" s="24" t="s">
        <v>82</v>
      </c>
      <c r="C32" s="31" t="s">
        <v>145</v>
      </c>
      <c r="D32" s="31"/>
      <c r="E32" s="31"/>
      <c r="F32" s="31"/>
      <c r="G32" s="31"/>
      <c r="H32" s="31"/>
      <c r="I32" s="31"/>
      <c r="J32" s="31"/>
      <c r="K32" s="31"/>
      <c r="L32" s="31"/>
    </row>
    <row r="33" customFormat="false" ht="15.75" hidden="false" customHeight="true" outlineLevel="0" collapsed="false">
      <c r="B33" s="17" t="s">
        <v>84</v>
      </c>
      <c r="C33" s="32" t="s">
        <v>146</v>
      </c>
      <c r="D33" s="32"/>
      <c r="E33" s="32"/>
      <c r="F33" s="32"/>
      <c r="G33" s="32"/>
      <c r="H33" s="32"/>
      <c r="I33" s="32"/>
      <c r="J33" s="32"/>
      <c r="K33" s="32"/>
      <c r="L33" s="32"/>
    </row>
    <row r="35" customFormat="false" ht="22.5" hidden="false" customHeight="true" outlineLevel="0" collapsed="false">
      <c r="B35" s="33" t="s">
        <v>86</v>
      </c>
      <c r="C35" s="33"/>
      <c r="D35" s="33"/>
      <c r="E35" s="33"/>
      <c r="F35" s="33"/>
      <c r="G35" s="33"/>
      <c r="H35" s="33"/>
      <c r="I35" s="33"/>
      <c r="J35" s="33"/>
      <c r="K35" s="33"/>
      <c r="L35" s="33"/>
    </row>
  </sheetData>
  <mergeCells count="35">
    <mergeCell ref="B2:B3"/>
    <mergeCell ref="C2:J3"/>
    <mergeCell ref="K2:L2"/>
    <mergeCell ref="K3:L3"/>
    <mergeCell ref="B5:C5"/>
    <mergeCell ref="D5:L6"/>
    <mergeCell ref="B6:C6"/>
    <mergeCell ref="B8:F8"/>
    <mergeCell ref="H8:L8"/>
    <mergeCell ref="B9:F9"/>
    <mergeCell ref="H9:L9"/>
    <mergeCell ref="B10:F10"/>
    <mergeCell ref="H10:L10"/>
    <mergeCell ref="B11:F11"/>
    <mergeCell ref="H11:L11"/>
    <mergeCell ref="B12:F12"/>
    <mergeCell ref="B13:F13"/>
    <mergeCell ref="B14:F17"/>
    <mergeCell ref="B19:L19"/>
    <mergeCell ref="B20:L20"/>
    <mergeCell ref="B21:C21"/>
    <mergeCell ref="D21:L21"/>
    <mergeCell ref="B22:C22"/>
    <mergeCell ref="D22:L22"/>
    <mergeCell ref="B23:C23"/>
    <mergeCell ref="D23:L23"/>
    <mergeCell ref="B24:C24"/>
    <mergeCell ref="D24:L24"/>
    <mergeCell ref="B25:C25"/>
    <mergeCell ref="D25:L25"/>
    <mergeCell ref="B26:L29"/>
    <mergeCell ref="C31:E31"/>
    <mergeCell ref="C32:L32"/>
    <mergeCell ref="C33:L33"/>
    <mergeCell ref="B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18"/>
    <col collapsed="false" customWidth="true" hidden="false" outlineLevel="0" max="4" min="4" style="0" width="14"/>
    <col collapsed="false" customWidth="true" hidden="false" outlineLevel="0" max="5" min="5" style="0" width="8"/>
    <col collapsed="false" customWidth="true" hidden="false" outlineLevel="0" max="6" min="6" style="0" width="30"/>
    <col collapsed="false" customWidth="true" hidden="false" outlineLevel="0" max="7" min="7" style="0" width="95"/>
  </cols>
  <sheetData>
    <row r="1" customFormat="false" ht="31.5" hidden="false" customHeight="true" outlineLevel="0" collapsed="false">
      <c r="A1" s="6" t="s">
        <v>5</v>
      </c>
      <c r="B1" s="6" t="s">
        <v>147</v>
      </c>
      <c r="C1" s="6" t="s">
        <v>148</v>
      </c>
      <c r="D1" s="6" t="s">
        <v>149</v>
      </c>
      <c r="E1" s="6" t="s">
        <v>150</v>
      </c>
      <c r="F1" s="6" t="s">
        <v>151</v>
      </c>
      <c r="G1" s="6" t="s">
        <v>152</v>
      </c>
    </row>
    <row r="2" customFormat="false" ht="109.5" hidden="false" customHeight="true" outlineLevel="0" collapsed="false">
      <c r="A2" s="34" t="s">
        <v>21</v>
      </c>
      <c r="B2" s="9" t="s">
        <v>153</v>
      </c>
      <c r="C2" s="9" t="s">
        <v>154</v>
      </c>
      <c r="D2" s="9" t="s">
        <v>155</v>
      </c>
      <c r="E2" s="9" t="s">
        <v>156</v>
      </c>
      <c r="F2" s="9" t="s">
        <v>157</v>
      </c>
      <c r="G2" s="9" t="s">
        <v>158</v>
      </c>
    </row>
    <row r="3" customFormat="false" ht="109.5" hidden="false" customHeight="true" outlineLevel="0" collapsed="false">
      <c r="A3" s="34" t="s">
        <v>21</v>
      </c>
      <c r="B3" s="9" t="s">
        <v>159</v>
      </c>
      <c r="C3" s="9" t="s">
        <v>160</v>
      </c>
      <c r="D3" s="9" t="s">
        <v>161</v>
      </c>
      <c r="E3" s="9" t="s">
        <v>156</v>
      </c>
      <c r="F3" s="9" t="s">
        <v>162</v>
      </c>
      <c r="G3" s="9" t="s">
        <v>163</v>
      </c>
    </row>
    <row r="4" customFormat="false" ht="109.5" hidden="false" customHeight="true" outlineLevel="0" collapsed="false">
      <c r="A4" s="34" t="s">
        <v>21</v>
      </c>
      <c r="B4" s="9" t="s">
        <v>164</v>
      </c>
      <c r="C4" s="9" t="s">
        <v>160</v>
      </c>
      <c r="D4" s="9" t="s">
        <v>165</v>
      </c>
      <c r="E4" s="9" t="s">
        <v>166</v>
      </c>
      <c r="F4" s="9" t="s">
        <v>167</v>
      </c>
      <c r="G4" s="9" t="s">
        <v>168</v>
      </c>
    </row>
    <row r="5" customFormat="false" ht="109.5" hidden="false" customHeight="true" outlineLevel="0" collapsed="false">
      <c r="A5" s="34" t="s">
        <v>29</v>
      </c>
      <c r="B5" s="9" t="s">
        <v>153</v>
      </c>
      <c r="C5" s="9" t="s">
        <v>154</v>
      </c>
      <c r="D5" s="9" t="s">
        <v>169</v>
      </c>
      <c r="E5" s="9" t="s">
        <v>156</v>
      </c>
      <c r="F5" s="9" t="s">
        <v>170</v>
      </c>
      <c r="G5" s="9" t="s">
        <v>171</v>
      </c>
    </row>
    <row r="6" customFormat="false" ht="109.5" hidden="false" customHeight="true" outlineLevel="0" collapsed="false">
      <c r="A6" s="34" t="s">
        <v>29</v>
      </c>
      <c r="B6" s="9" t="s">
        <v>159</v>
      </c>
      <c r="C6" s="9" t="s">
        <v>160</v>
      </c>
      <c r="D6" s="9" t="s">
        <v>169</v>
      </c>
      <c r="E6" s="9" t="s">
        <v>156</v>
      </c>
      <c r="F6" s="9" t="s">
        <v>172</v>
      </c>
      <c r="G6" s="9" t="s">
        <v>173</v>
      </c>
    </row>
    <row r="7" customFormat="false" ht="109.5" hidden="false" customHeight="true" outlineLevel="0" collapsed="false">
      <c r="A7" s="34" t="s">
        <v>29</v>
      </c>
      <c r="B7" s="9" t="s">
        <v>164</v>
      </c>
      <c r="C7" s="9" t="s">
        <v>160</v>
      </c>
      <c r="D7" s="9" t="s">
        <v>155</v>
      </c>
      <c r="E7" s="9" t="s">
        <v>166</v>
      </c>
      <c r="F7" s="9" t="s">
        <v>174</v>
      </c>
      <c r="G7" s="9" t="s">
        <v>175</v>
      </c>
    </row>
    <row r="8" customFormat="false" ht="109.5" hidden="false" customHeight="true" outlineLevel="0" collapsed="false">
      <c r="A8" s="34" t="s">
        <v>36</v>
      </c>
      <c r="B8" s="9" t="s">
        <v>153</v>
      </c>
      <c r="C8" s="9" t="s">
        <v>154</v>
      </c>
      <c r="D8" s="9" t="s">
        <v>155</v>
      </c>
      <c r="E8" s="9" t="s">
        <v>156</v>
      </c>
      <c r="F8" s="9" t="s">
        <v>176</v>
      </c>
      <c r="G8" s="9" t="s">
        <v>177</v>
      </c>
    </row>
    <row r="9" customFormat="false" ht="109.5" hidden="false" customHeight="true" outlineLevel="0" collapsed="false">
      <c r="A9" s="34" t="s">
        <v>36</v>
      </c>
      <c r="B9" s="9" t="s">
        <v>159</v>
      </c>
      <c r="C9" s="9" t="s">
        <v>160</v>
      </c>
      <c r="D9" s="9" t="s">
        <v>161</v>
      </c>
      <c r="E9" s="9" t="s">
        <v>156</v>
      </c>
      <c r="F9" s="9" t="s">
        <v>178</v>
      </c>
      <c r="G9" s="9" t="s">
        <v>179</v>
      </c>
    </row>
    <row r="10" customFormat="false" ht="109.5" hidden="false" customHeight="true" outlineLevel="0" collapsed="false">
      <c r="A10" s="34" t="s">
        <v>36</v>
      </c>
      <c r="B10" s="9" t="s">
        <v>164</v>
      </c>
      <c r="C10" s="9" t="s">
        <v>160</v>
      </c>
      <c r="D10" s="9" t="s">
        <v>155</v>
      </c>
      <c r="E10" s="9" t="s">
        <v>166</v>
      </c>
      <c r="F10" s="9" t="s">
        <v>180</v>
      </c>
      <c r="G10" s="9" t="s">
        <v>181</v>
      </c>
    </row>
    <row r="11" customFormat="false" ht="109.5" hidden="false" customHeight="true" outlineLevel="0" collapsed="false">
      <c r="A11" s="34" t="s">
        <v>41</v>
      </c>
      <c r="B11" s="9" t="s">
        <v>153</v>
      </c>
      <c r="C11" s="9" t="s">
        <v>154</v>
      </c>
      <c r="D11" s="9" t="s">
        <v>155</v>
      </c>
      <c r="E11" s="9" t="s">
        <v>156</v>
      </c>
      <c r="F11" s="9" t="s">
        <v>182</v>
      </c>
      <c r="G11" s="9" t="s">
        <v>183</v>
      </c>
    </row>
    <row r="12" customFormat="false" ht="109.5" hidden="false" customHeight="true" outlineLevel="0" collapsed="false">
      <c r="A12" s="34" t="s">
        <v>41</v>
      </c>
      <c r="B12" s="9" t="s">
        <v>159</v>
      </c>
      <c r="C12" s="9" t="s">
        <v>160</v>
      </c>
      <c r="D12" s="9" t="s">
        <v>155</v>
      </c>
      <c r="E12" s="9" t="s">
        <v>156</v>
      </c>
      <c r="F12" s="9" t="s">
        <v>184</v>
      </c>
      <c r="G12" s="9" t="s">
        <v>185</v>
      </c>
    </row>
    <row r="13" customFormat="false" ht="109.5" hidden="false" customHeight="true" outlineLevel="0" collapsed="false">
      <c r="A13" s="34" t="s">
        <v>41</v>
      </c>
      <c r="B13" s="9" t="s">
        <v>164</v>
      </c>
      <c r="C13" s="9" t="s">
        <v>160</v>
      </c>
      <c r="D13" s="9" t="s">
        <v>165</v>
      </c>
      <c r="E13" s="9" t="s">
        <v>166</v>
      </c>
      <c r="F13" s="9" t="s">
        <v>186</v>
      </c>
      <c r="G13" s="9" t="s">
        <v>187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4"/>
    <col collapsed="false" customWidth="true" hidden="false" outlineLevel="0" max="4" min="4" style="0" width="30"/>
    <col collapsed="false" customWidth="true" hidden="false" outlineLevel="0" max="5" min="5" style="0" width="48"/>
    <col collapsed="false" customWidth="true" hidden="false" outlineLevel="0" max="6" min="6" style="0" width="26"/>
    <col collapsed="false" customWidth="true" hidden="false" outlineLevel="0" max="7" min="7" style="0" width="14"/>
  </cols>
  <sheetData>
    <row r="1" customFormat="false" ht="31.5" hidden="false" customHeight="true" outlineLevel="0" collapsed="false">
      <c r="A1" s="6" t="s">
        <v>5</v>
      </c>
      <c r="B1" s="6" t="s">
        <v>188</v>
      </c>
      <c r="C1" s="6" t="s">
        <v>189</v>
      </c>
      <c r="D1" s="6" t="s">
        <v>190</v>
      </c>
      <c r="E1" s="6" t="s">
        <v>191</v>
      </c>
      <c r="F1" s="6" t="s">
        <v>192</v>
      </c>
      <c r="G1" s="6" t="s">
        <v>193</v>
      </c>
    </row>
    <row r="2" customFormat="false" ht="42" hidden="false" customHeight="true" outlineLevel="0" collapsed="false">
      <c r="A2" s="34" t="s">
        <v>21</v>
      </c>
      <c r="B2" s="9" t="s">
        <v>194</v>
      </c>
      <c r="C2" s="9" t="s">
        <v>195</v>
      </c>
      <c r="D2" s="9" t="s">
        <v>196</v>
      </c>
      <c r="E2" s="9" t="s">
        <v>197</v>
      </c>
      <c r="F2" s="9" t="s">
        <v>198</v>
      </c>
      <c r="G2" s="9" t="s">
        <v>199</v>
      </c>
    </row>
    <row r="3" customFormat="false" ht="42" hidden="false" customHeight="true" outlineLevel="0" collapsed="false">
      <c r="A3" s="34" t="s">
        <v>21</v>
      </c>
      <c r="B3" s="9" t="s">
        <v>200</v>
      </c>
      <c r="C3" s="9" t="s">
        <v>201</v>
      </c>
      <c r="D3" s="9" t="s">
        <v>202</v>
      </c>
      <c r="E3" s="9" t="s">
        <v>203</v>
      </c>
      <c r="F3" s="9" t="s">
        <v>204</v>
      </c>
      <c r="G3" s="9" t="s">
        <v>205</v>
      </c>
    </row>
    <row r="4" customFormat="false" ht="42" hidden="false" customHeight="true" outlineLevel="0" collapsed="false">
      <c r="A4" s="34" t="s">
        <v>21</v>
      </c>
      <c r="B4" s="9" t="s">
        <v>206</v>
      </c>
      <c r="C4" s="35" t="s">
        <v>207</v>
      </c>
      <c r="D4" s="9" t="s">
        <v>208</v>
      </c>
      <c r="E4" s="9" t="s">
        <v>209</v>
      </c>
      <c r="F4" s="9" t="s">
        <v>210</v>
      </c>
      <c r="G4" s="9" t="s">
        <v>211</v>
      </c>
    </row>
    <row r="5" customFormat="false" ht="42" hidden="false" customHeight="true" outlineLevel="0" collapsed="false">
      <c r="A5" s="34" t="s">
        <v>21</v>
      </c>
      <c r="B5" s="9" t="s">
        <v>212</v>
      </c>
      <c r="C5" s="9" t="s">
        <v>213</v>
      </c>
      <c r="D5" s="9" t="s">
        <v>214</v>
      </c>
      <c r="E5" s="9" t="s">
        <v>215</v>
      </c>
      <c r="F5" s="9" t="s">
        <v>216</v>
      </c>
      <c r="G5" s="9" t="s">
        <v>199</v>
      </c>
    </row>
    <row r="6" customFormat="false" ht="42" hidden="false" customHeight="true" outlineLevel="0" collapsed="false">
      <c r="A6" s="34" t="s">
        <v>21</v>
      </c>
      <c r="B6" s="9" t="s">
        <v>217</v>
      </c>
      <c r="C6" s="9" t="s">
        <v>218</v>
      </c>
      <c r="D6" s="9" t="s">
        <v>219</v>
      </c>
      <c r="E6" s="9" t="s">
        <v>220</v>
      </c>
      <c r="F6" s="9" t="s">
        <v>221</v>
      </c>
      <c r="G6" s="9" t="s">
        <v>199</v>
      </c>
    </row>
    <row r="7" customFormat="false" ht="42" hidden="false" customHeight="true" outlineLevel="0" collapsed="false">
      <c r="A7" s="34" t="s">
        <v>29</v>
      </c>
      <c r="B7" s="9" t="s">
        <v>194</v>
      </c>
      <c r="C7" s="9" t="s">
        <v>222</v>
      </c>
      <c r="D7" s="9" t="s">
        <v>223</v>
      </c>
      <c r="E7" s="9" t="s">
        <v>224</v>
      </c>
      <c r="F7" s="9" t="s">
        <v>198</v>
      </c>
      <c r="G7" s="9" t="s">
        <v>199</v>
      </c>
    </row>
    <row r="8" customFormat="false" ht="42" hidden="false" customHeight="true" outlineLevel="0" collapsed="false">
      <c r="A8" s="34" t="s">
        <v>29</v>
      </c>
      <c r="B8" s="9" t="s">
        <v>200</v>
      </c>
      <c r="C8" s="9" t="s">
        <v>201</v>
      </c>
      <c r="D8" s="9" t="s">
        <v>202</v>
      </c>
      <c r="E8" s="9" t="s">
        <v>225</v>
      </c>
      <c r="F8" s="9" t="s">
        <v>204</v>
      </c>
      <c r="G8" s="9" t="s">
        <v>205</v>
      </c>
    </row>
    <row r="9" customFormat="false" ht="42" hidden="false" customHeight="true" outlineLevel="0" collapsed="false">
      <c r="A9" s="34" t="s">
        <v>29</v>
      </c>
      <c r="B9" s="9" t="s">
        <v>206</v>
      </c>
      <c r="C9" s="35" t="s">
        <v>207</v>
      </c>
      <c r="D9" s="9" t="s">
        <v>208</v>
      </c>
      <c r="E9" s="9" t="s">
        <v>226</v>
      </c>
      <c r="F9" s="9" t="s">
        <v>210</v>
      </c>
      <c r="G9" s="9" t="s">
        <v>211</v>
      </c>
    </row>
    <row r="10" customFormat="false" ht="42" hidden="false" customHeight="true" outlineLevel="0" collapsed="false">
      <c r="A10" s="34" t="s">
        <v>29</v>
      </c>
      <c r="B10" s="9" t="s">
        <v>227</v>
      </c>
      <c r="C10" s="9" t="s">
        <v>228</v>
      </c>
      <c r="D10" s="9" t="s">
        <v>229</v>
      </c>
      <c r="E10" s="9" t="s">
        <v>230</v>
      </c>
      <c r="F10" s="9" t="s">
        <v>231</v>
      </c>
      <c r="G10" s="9" t="s">
        <v>199</v>
      </c>
    </row>
    <row r="11" customFormat="false" ht="42" hidden="false" customHeight="true" outlineLevel="0" collapsed="false">
      <c r="A11" s="34" t="s">
        <v>29</v>
      </c>
      <c r="B11" s="9" t="s">
        <v>212</v>
      </c>
      <c r="C11" s="9" t="s">
        <v>232</v>
      </c>
      <c r="D11" s="9" t="s">
        <v>233</v>
      </c>
      <c r="E11" s="9" t="s">
        <v>234</v>
      </c>
      <c r="F11" s="9" t="s">
        <v>216</v>
      </c>
      <c r="G11" s="9" t="s">
        <v>199</v>
      </c>
    </row>
    <row r="12" customFormat="false" ht="42" hidden="false" customHeight="true" outlineLevel="0" collapsed="false">
      <c r="A12" s="34" t="s">
        <v>36</v>
      </c>
      <c r="B12" s="9" t="s">
        <v>194</v>
      </c>
      <c r="C12" s="9" t="s">
        <v>235</v>
      </c>
      <c r="D12" s="9" t="s">
        <v>236</v>
      </c>
      <c r="E12" s="9" t="s">
        <v>237</v>
      </c>
      <c r="F12" s="9" t="s">
        <v>198</v>
      </c>
      <c r="G12" s="9" t="s">
        <v>199</v>
      </c>
    </row>
    <row r="13" customFormat="false" ht="42" hidden="false" customHeight="true" outlineLevel="0" collapsed="false">
      <c r="A13" s="34" t="s">
        <v>36</v>
      </c>
      <c r="B13" s="9" t="s">
        <v>227</v>
      </c>
      <c r="C13" s="9" t="s">
        <v>228</v>
      </c>
      <c r="D13" s="9" t="s">
        <v>238</v>
      </c>
      <c r="E13" s="9" t="s">
        <v>239</v>
      </c>
      <c r="F13" s="9" t="s">
        <v>231</v>
      </c>
      <c r="G13" s="9" t="s">
        <v>199</v>
      </c>
    </row>
    <row r="14" customFormat="false" ht="42" hidden="false" customHeight="true" outlineLevel="0" collapsed="false">
      <c r="A14" s="34" t="s">
        <v>36</v>
      </c>
      <c r="B14" s="9" t="s">
        <v>200</v>
      </c>
      <c r="C14" s="9" t="s">
        <v>201</v>
      </c>
      <c r="D14" s="9" t="s">
        <v>202</v>
      </c>
      <c r="E14" s="9" t="s">
        <v>240</v>
      </c>
      <c r="F14" s="9" t="s">
        <v>204</v>
      </c>
      <c r="G14" s="9" t="s">
        <v>205</v>
      </c>
    </row>
    <row r="15" customFormat="false" ht="42" hidden="false" customHeight="true" outlineLevel="0" collapsed="false">
      <c r="A15" s="34" t="s">
        <v>36</v>
      </c>
      <c r="B15" s="9" t="s">
        <v>206</v>
      </c>
      <c r="C15" s="35" t="s">
        <v>207</v>
      </c>
      <c r="D15" s="9" t="s">
        <v>208</v>
      </c>
      <c r="E15" s="9" t="s">
        <v>241</v>
      </c>
      <c r="F15" s="9" t="s">
        <v>210</v>
      </c>
      <c r="G15" s="9" t="s">
        <v>211</v>
      </c>
    </row>
    <row r="16" customFormat="false" ht="42" hidden="false" customHeight="true" outlineLevel="0" collapsed="false">
      <c r="A16" s="34" t="s">
        <v>36</v>
      </c>
      <c r="B16" s="9" t="s">
        <v>217</v>
      </c>
      <c r="C16" s="9" t="s">
        <v>242</v>
      </c>
      <c r="D16" s="9" t="s">
        <v>243</v>
      </c>
      <c r="E16" s="9" t="s">
        <v>244</v>
      </c>
      <c r="F16" s="9" t="s">
        <v>245</v>
      </c>
      <c r="G16" s="9" t="s">
        <v>199</v>
      </c>
    </row>
    <row r="17" customFormat="false" ht="42" hidden="false" customHeight="true" outlineLevel="0" collapsed="false">
      <c r="A17" s="34" t="s">
        <v>41</v>
      </c>
      <c r="B17" s="9" t="s">
        <v>194</v>
      </c>
      <c r="C17" s="9" t="s">
        <v>246</v>
      </c>
      <c r="D17" s="9" t="s">
        <v>247</v>
      </c>
      <c r="E17" s="9" t="s">
        <v>248</v>
      </c>
      <c r="F17" s="9" t="s">
        <v>198</v>
      </c>
      <c r="G17" s="9" t="s">
        <v>199</v>
      </c>
    </row>
    <row r="18" customFormat="false" ht="42" hidden="false" customHeight="true" outlineLevel="0" collapsed="false">
      <c r="A18" s="34" t="s">
        <v>41</v>
      </c>
      <c r="B18" s="9" t="s">
        <v>200</v>
      </c>
      <c r="C18" s="9" t="s">
        <v>201</v>
      </c>
      <c r="D18" s="9" t="s">
        <v>202</v>
      </c>
      <c r="E18" s="9" t="s">
        <v>249</v>
      </c>
      <c r="F18" s="9" t="s">
        <v>204</v>
      </c>
      <c r="G18" s="9" t="s">
        <v>205</v>
      </c>
    </row>
    <row r="19" customFormat="false" ht="42" hidden="false" customHeight="true" outlineLevel="0" collapsed="false">
      <c r="A19" s="34" t="s">
        <v>41</v>
      </c>
      <c r="B19" s="9" t="s">
        <v>206</v>
      </c>
      <c r="C19" s="35" t="s">
        <v>207</v>
      </c>
      <c r="D19" s="9" t="s">
        <v>208</v>
      </c>
      <c r="E19" s="9" t="s">
        <v>250</v>
      </c>
      <c r="F19" s="9" t="s">
        <v>210</v>
      </c>
      <c r="G19" s="9" t="s">
        <v>211</v>
      </c>
    </row>
    <row r="20" customFormat="false" ht="42" hidden="false" customHeight="true" outlineLevel="0" collapsed="false">
      <c r="A20" s="34" t="s">
        <v>41</v>
      </c>
      <c r="B20" s="9" t="s">
        <v>251</v>
      </c>
      <c r="C20" s="9" t="s">
        <v>252</v>
      </c>
      <c r="D20" s="9" t="s">
        <v>253</v>
      </c>
      <c r="E20" s="9" t="s">
        <v>254</v>
      </c>
      <c r="F20" s="9" t="s">
        <v>255</v>
      </c>
      <c r="G20" s="9" t="s">
        <v>199</v>
      </c>
    </row>
    <row r="21" customFormat="false" ht="42" hidden="false" customHeight="true" outlineLevel="0" collapsed="false">
      <c r="A21" s="34" t="s">
        <v>41</v>
      </c>
      <c r="B21" s="9" t="s">
        <v>256</v>
      </c>
      <c r="C21" s="9" t="s">
        <v>257</v>
      </c>
      <c r="D21" s="9" t="s">
        <v>258</v>
      </c>
      <c r="E21" s="9" t="s">
        <v>259</v>
      </c>
      <c r="F21" s="9" t="s">
        <v>210</v>
      </c>
      <c r="G21" s="9" t="s">
        <v>211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5" min="2" style="0" width="10"/>
  </cols>
  <sheetData>
    <row r="1" customFormat="false" ht="31.5" hidden="false" customHeight="true" outlineLevel="0" collapsed="false">
      <c r="A1" s="6" t="s">
        <v>260</v>
      </c>
      <c r="B1" s="6" t="s">
        <v>21</v>
      </c>
      <c r="C1" s="6" t="s">
        <v>29</v>
      </c>
      <c r="D1" s="6" t="s">
        <v>36</v>
      </c>
      <c r="E1" s="6" t="s">
        <v>41</v>
      </c>
    </row>
    <row r="2" customFormat="false" ht="15" hidden="false" customHeight="false" outlineLevel="0" collapsed="false">
      <c r="A2" s="36" t="s">
        <v>261</v>
      </c>
      <c r="B2" s="37"/>
      <c r="C2" s="37"/>
      <c r="D2" s="37"/>
      <c r="E2" s="37"/>
    </row>
    <row r="3" customFormat="false" ht="15" hidden="false" customHeight="false" outlineLevel="0" collapsed="false">
      <c r="A3" s="9" t="s">
        <v>262</v>
      </c>
      <c r="B3" s="4" t="n">
        <v>1</v>
      </c>
      <c r="C3" s="4" t="n">
        <v>1</v>
      </c>
      <c r="D3" s="4" t="n">
        <v>1</v>
      </c>
      <c r="E3" s="4" t="n">
        <v>1</v>
      </c>
    </row>
    <row r="4" customFormat="false" ht="15" hidden="false" customHeight="false" outlineLevel="0" collapsed="false">
      <c r="A4" s="9" t="s">
        <v>263</v>
      </c>
      <c r="B4" s="4" t="n">
        <v>1</v>
      </c>
      <c r="C4" s="4" t="n">
        <v>1</v>
      </c>
      <c r="D4" s="4" t="n">
        <v>1</v>
      </c>
      <c r="E4" s="4" t="n">
        <v>1</v>
      </c>
    </row>
    <row r="5" customFormat="false" ht="15" hidden="false" customHeight="false" outlineLevel="0" collapsed="false">
      <c r="A5" s="9" t="s">
        <v>264</v>
      </c>
      <c r="B5" s="4" t="n">
        <v>1</v>
      </c>
      <c r="C5" s="4" t="n">
        <v>1</v>
      </c>
      <c r="D5" s="4" t="n">
        <v>1</v>
      </c>
      <c r="E5" s="4" t="n">
        <v>1</v>
      </c>
    </row>
    <row r="6" customFormat="false" ht="15" hidden="false" customHeight="false" outlineLevel="0" collapsed="false">
      <c r="A6" s="9" t="s">
        <v>265</v>
      </c>
      <c r="B6" s="4" t="n">
        <v>1</v>
      </c>
      <c r="C6" s="4" t="n">
        <v>1</v>
      </c>
      <c r="D6" s="4" t="n">
        <v>1</v>
      </c>
      <c r="E6" s="4" t="n">
        <v>1</v>
      </c>
    </row>
    <row r="7" customFormat="false" ht="15" hidden="false" customHeight="false" outlineLevel="0" collapsed="false">
      <c r="A7" s="9" t="s">
        <v>266</v>
      </c>
      <c r="B7" s="4" t="n">
        <v>1</v>
      </c>
      <c r="C7" s="4" t="n">
        <v>1</v>
      </c>
      <c r="D7" s="4" t="n">
        <v>1</v>
      </c>
      <c r="E7" s="4" t="n">
        <v>1</v>
      </c>
    </row>
    <row r="8" customFormat="false" ht="15" hidden="false" customHeight="false" outlineLevel="0" collapsed="false">
      <c r="A8" s="9" t="s">
        <v>267</v>
      </c>
      <c r="B8" s="4" t="n">
        <v>1</v>
      </c>
      <c r="C8" s="4" t="n">
        <v>1</v>
      </c>
      <c r="D8" s="4" t="n">
        <v>1</v>
      </c>
      <c r="E8" s="4" t="n">
        <v>1</v>
      </c>
    </row>
    <row r="9" customFormat="false" ht="15" hidden="false" customHeight="false" outlineLevel="0" collapsed="false">
      <c r="A9" s="9" t="s">
        <v>268</v>
      </c>
      <c r="B9" s="4" t="n">
        <v>1</v>
      </c>
      <c r="C9" s="4" t="n">
        <v>1</v>
      </c>
      <c r="D9" s="4" t="n">
        <v>1</v>
      </c>
      <c r="E9" s="4" t="n">
        <v>1</v>
      </c>
    </row>
    <row r="10" customFormat="false" ht="15" hidden="false" customHeight="false" outlineLevel="0" collapsed="false">
      <c r="A10" s="9" t="s">
        <v>269</v>
      </c>
      <c r="B10" s="4" t="n">
        <v>1</v>
      </c>
      <c r="C10" s="4" t="n">
        <v>1</v>
      </c>
      <c r="D10" s="4" t="n">
        <v>1</v>
      </c>
      <c r="E10" s="4" t="n">
        <v>1</v>
      </c>
    </row>
    <row r="11" customFormat="false" ht="15" hidden="false" customHeight="false" outlineLevel="0" collapsed="false">
      <c r="A11" s="38" t="s">
        <v>48</v>
      </c>
      <c r="B11" s="10" t="n">
        <f aca="false">SUM(B3:B10)</f>
        <v>8</v>
      </c>
      <c r="C11" s="10" t="n">
        <f aca="false">SUM(C3:C10)</f>
        <v>8</v>
      </c>
      <c r="D11" s="10" t="n">
        <f aca="false">SUM(D3:D10)</f>
        <v>8</v>
      </c>
      <c r="E11" s="10" t="n">
        <f aca="false">SUM(E3:E10)</f>
        <v>8</v>
      </c>
    </row>
    <row r="13" customFormat="false" ht="15" hidden="false" customHeight="false" outlineLevel="0" collapsed="false">
      <c r="A13" s="36" t="s">
        <v>270</v>
      </c>
      <c r="B13" s="37"/>
      <c r="C13" s="37"/>
      <c r="D13" s="37"/>
      <c r="E13" s="37"/>
    </row>
    <row r="14" customFormat="false" ht="15" hidden="false" customHeight="false" outlineLevel="0" collapsed="false">
      <c r="A14" s="9" t="s">
        <v>271</v>
      </c>
      <c r="B14" s="4" t="n">
        <v>1</v>
      </c>
      <c r="C14" s="4" t="n">
        <v>1</v>
      </c>
      <c r="D14" s="4" t="n">
        <v>1</v>
      </c>
      <c r="E14" s="4" t="n">
        <v>1</v>
      </c>
    </row>
    <row r="15" customFormat="false" ht="15" hidden="false" customHeight="false" outlineLevel="0" collapsed="false">
      <c r="A15" s="35" t="s">
        <v>272</v>
      </c>
      <c r="B15" s="4" t="n">
        <v>1</v>
      </c>
      <c r="C15" s="4" t="n">
        <v>1</v>
      </c>
      <c r="D15" s="4" t="n">
        <v>1</v>
      </c>
      <c r="E15" s="4" t="n">
        <v>1</v>
      </c>
    </row>
    <row r="16" customFormat="false" ht="15" hidden="false" customHeight="false" outlineLevel="0" collapsed="false">
      <c r="A16" s="9" t="s">
        <v>273</v>
      </c>
      <c r="B16" s="4" t="n">
        <v>1</v>
      </c>
      <c r="C16" s="4" t="n">
        <v>1</v>
      </c>
      <c r="D16" s="4" t="n">
        <v>1</v>
      </c>
      <c r="E16" s="4" t="n">
        <v>1</v>
      </c>
    </row>
    <row r="17" customFormat="false" ht="15" hidden="false" customHeight="false" outlineLevel="0" collapsed="false">
      <c r="A17" s="9" t="s">
        <v>274</v>
      </c>
      <c r="B17" s="4" t="n">
        <v>1</v>
      </c>
      <c r="C17" s="4" t="n">
        <v>1</v>
      </c>
      <c r="D17" s="4" t="n">
        <v>1</v>
      </c>
      <c r="E17" s="4" t="n">
        <v>1</v>
      </c>
    </row>
    <row r="18" customFormat="false" ht="15" hidden="false" customHeight="false" outlineLevel="0" collapsed="false">
      <c r="A18" s="35" t="s">
        <v>275</v>
      </c>
      <c r="B18" s="4" t="n">
        <v>1</v>
      </c>
      <c r="C18" s="4" t="n">
        <v>1</v>
      </c>
      <c r="D18" s="4" t="n">
        <v>1</v>
      </c>
      <c r="E18" s="4" t="n">
        <v>1</v>
      </c>
    </row>
    <row r="19" customFormat="false" ht="15" hidden="false" customHeight="false" outlineLevel="0" collapsed="false">
      <c r="A19" s="9" t="s">
        <v>276</v>
      </c>
      <c r="B19" s="4" t="n">
        <v>1</v>
      </c>
      <c r="C19" s="4" t="n">
        <v>1</v>
      </c>
      <c r="D19" s="4" t="n">
        <v>1</v>
      </c>
      <c r="E19" s="4" t="n">
        <v>0</v>
      </c>
    </row>
    <row r="20" customFormat="false" ht="15" hidden="false" customHeight="false" outlineLevel="0" collapsed="false">
      <c r="A20" s="9" t="s">
        <v>277</v>
      </c>
      <c r="B20" s="4" t="n">
        <v>0</v>
      </c>
      <c r="C20" s="4" t="n">
        <v>0</v>
      </c>
      <c r="D20" s="4" t="n">
        <v>0</v>
      </c>
      <c r="E20" s="4" t="n">
        <v>0</v>
      </c>
    </row>
    <row r="21" customFormat="false" ht="15" hidden="false" customHeight="false" outlineLevel="0" collapsed="false">
      <c r="A21" s="38" t="s">
        <v>48</v>
      </c>
      <c r="B21" s="10" t="n">
        <f aca="false">SUM(B14:B20)</f>
        <v>6</v>
      </c>
      <c r="C21" s="10" t="n">
        <f aca="false">SUM(C14:C20)</f>
        <v>6</v>
      </c>
      <c r="D21" s="10" t="n">
        <f aca="false">SUM(D14:D20)</f>
        <v>6</v>
      </c>
      <c r="E21" s="10" t="n">
        <f aca="false">SUM(E14:E20)</f>
        <v>5</v>
      </c>
    </row>
    <row r="23" customFormat="false" ht="15" hidden="false" customHeight="false" outlineLevel="0" collapsed="false">
      <c r="A23" s="36" t="s">
        <v>278</v>
      </c>
      <c r="B23" s="37"/>
      <c r="C23" s="37"/>
      <c r="D23" s="37"/>
      <c r="E23" s="37"/>
    </row>
    <row r="24" customFormat="false" ht="15" hidden="false" customHeight="false" outlineLevel="0" collapsed="false">
      <c r="A24" s="9" t="s">
        <v>279</v>
      </c>
      <c r="B24" s="4" t="n">
        <v>1</v>
      </c>
      <c r="C24" s="4" t="n">
        <v>1</v>
      </c>
      <c r="D24" s="4" t="n">
        <v>1</v>
      </c>
      <c r="E24" s="4" t="n">
        <v>1</v>
      </c>
    </row>
    <row r="25" customFormat="false" ht="15" hidden="false" customHeight="false" outlineLevel="0" collapsed="false">
      <c r="A25" s="9" t="s">
        <v>280</v>
      </c>
      <c r="B25" s="4" t="n">
        <v>1</v>
      </c>
      <c r="C25" s="4" t="n">
        <v>1</v>
      </c>
      <c r="D25" s="4" t="n">
        <v>1</v>
      </c>
      <c r="E25" s="4" t="n">
        <v>1</v>
      </c>
    </row>
    <row r="26" customFormat="false" ht="15" hidden="false" customHeight="false" outlineLevel="0" collapsed="false">
      <c r="A26" s="9" t="s">
        <v>281</v>
      </c>
      <c r="B26" s="4" t="n">
        <v>1</v>
      </c>
      <c r="C26" s="4" t="n">
        <v>1</v>
      </c>
      <c r="D26" s="4" t="n">
        <v>1</v>
      </c>
      <c r="E26" s="4" t="n">
        <v>1</v>
      </c>
    </row>
    <row r="27" customFormat="false" ht="15" hidden="false" customHeight="false" outlineLevel="0" collapsed="false">
      <c r="A27" s="9" t="s">
        <v>282</v>
      </c>
      <c r="B27" s="4" t="n">
        <v>1</v>
      </c>
      <c r="C27" s="4" t="n">
        <v>1</v>
      </c>
      <c r="D27" s="4" t="n">
        <v>1</v>
      </c>
      <c r="E27" s="4" t="n">
        <v>1</v>
      </c>
    </row>
    <row r="28" customFormat="false" ht="15" hidden="false" customHeight="false" outlineLevel="0" collapsed="false">
      <c r="A28" s="9" t="s">
        <v>283</v>
      </c>
      <c r="B28" s="4" t="n">
        <v>1</v>
      </c>
      <c r="C28" s="4" t="n">
        <v>1</v>
      </c>
      <c r="D28" s="4" t="n">
        <v>1</v>
      </c>
      <c r="E28" s="4" t="n">
        <v>1</v>
      </c>
    </row>
    <row r="29" customFormat="false" ht="15" hidden="false" customHeight="false" outlineLevel="0" collapsed="false">
      <c r="A29" s="38" t="s">
        <v>48</v>
      </c>
      <c r="B29" s="10" t="n">
        <f aca="false">SUM(B24:B28)</f>
        <v>5</v>
      </c>
      <c r="C29" s="10" t="n">
        <f aca="false">SUM(C24:C28)</f>
        <v>5</v>
      </c>
      <c r="D29" s="10" t="n">
        <f aca="false">SUM(D24:D28)</f>
        <v>5</v>
      </c>
      <c r="E29" s="10" t="n">
        <f aca="false">SUM(E24:E28)</f>
        <v>5</v>
      </c>
    </row>
    <row r="31" customFormat="false" ht="15" hidden="false" customHeight="false" outlineLevel="0" collapsed="false">
      <c r="A31" s="39" t="s">
        <v>284</v>
      </c>
      <c r="B31" s="40" t="n">
        <f aca="false">B11+B21+B29</f>
        <v>19</v>
      </c>
      <c r="C31" s="40" t="n">
        <f aca="false">C11+C21+C29</f>
        <v>19</v>
      </c>
      <c r="D31" s="40" t="n">
        <f aca="false">D11+D21+D29</f>
        <v>19</v>
      </c>
      <c r="E31" s="40" t="n">
        <f aca="false">E11+E21+E29</f>
        <v>18</v>
      </c>
    </row>
    <row r="32" customFormat="false" ht="15" hidden="false" customHeight="false" outlineLevel="0" collapsed="false">
      <c r="A32" s="38" t="s">
        <v>285</v>
      </c>
      <c r="B32" s="8" t="str">
        <f aca="false">IF(B31&gt;=17,"ผ่าน","ไม่ผ่าน")</f>
        <v>ผ่าน</v>
      </c>
      <c r="C32" s="8" t="str">
        <f aca="false">IF(C31&gt;=17,"ผ่าน","ไม่ผ่าน")</f>
        <v>ผ่าน</v>
      </c>
      <c r="D32" s="8" t="str">
        <f aca="false">IF(D31&gt;=17,"ผ่าน","ไม่ผ่าน")</f>
        <v>ผ่าน</v>
      </c>
      <c r="E32" s="8" t="str">
        <f aca="false">IF(E31&gt;=17,"ผ่าน","ไม่ผ่าน")</f>
        <v>ผ่าน</v>
      </c>
    </row>
    <row r="34" customFormat="false" ht="19.4" hidden="false" customHeight="false" outlineLevel="0" collapsed="false">
      <c r="A34" s="41" t="s">
        <v>286</v>
      </c>
    </row>
  </sheetData>
  <conditionalFormatting sqref="B32:E32">
    <cfRule type="cellIs" priority="2" operator="equal" aboveAverage="0" equalAverage="0" bottom="0" percent="0" rank="0" text="" dxfId="0">
      <formula>"ผ่าน"</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2026-10-05T16:45:55Z</dcterms:created>
  <dc:creator>openpyxl</dc:creator>
  <dc:description/>
  <dc:language>en-US</dc:language>
  <cp:lastModifiedBy/>
  <dcterms:modified xsi:type="dcterms:W3CDTF">2026-10-05T16:45:55Z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