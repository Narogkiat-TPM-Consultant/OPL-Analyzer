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System_Map" sheetId="2" state="visible" r:id="rId4"/>
    <sheet name="Component_Analysis" sheetId="3" state="visible" r:id="rId5"/>
    <sheet name="Forced_Deterioration" sheetId="4" state="visible" r:id="rId6"/>
    <sheet name="Operating_Conditions" sheetId="5" state="visible" r:id="rId7"/>
    <sheet name="Skill_Check" sheetId="6" state="visible" r:id="rId8"/>
    <sheet name="Answer_Key" sheetId="7" state="visible" r:id="rId9"/>
    <sheet name="To_Confirm" sheetId="8" state="visible" r:id="rId10"/>
  </sheets>
  <definedNames>
    <definedName function="false" hidden="false" localSheetId="2" name="_xlnm.Print_Titles" vbProcedure="false">Component_Analysis!$4:$4</definedName>
    <definedName function="false" hidden="false" localSheetId="1" name="_xlnm.Print_Titles" vbProcedure="false">System_Map!$5:$5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<sst xmlns="http://schemas.openxmlformats.org/spreadsheetml/2006/main" count="444" uniqueCount="400">
  <si>
    <r>
      <rPr>
        <b val="true"/>
        <sz val="15"/>
        <color rgb="FFFFFFFF"/>
        <rFont val="Tahoma"/>
        <family val="0"/>
        <charset val="1"/>
      </rPr>
      <t xml:space="preserve">Know My Machine — Hydraulic Unit (</t>
    </r>
    <r>
      <rPr>
        <b val="true"/>
        <sz val="15"/>
        <color rgb="FFFFFFFF"/>
        <rFont val="WenQuanYi Zen Hei"/>
        <family val="2"/>
      </rPr>
      <t xml:space="preserve">設備を知る </t>
    </r>
    <r>
      <rPr>
        <b val="true"/>
        <sz val="15"/>
        <color rgb="FFFFFFFF"/>
        <rFont val="Tahoma"/>
        <family val="0"/>
        <charset val="1"/>
      </rPr>
      <t xml:space="preserve">= รู้จักเครื่องจักรของเรา · ระบบไฮดรอลิก)</t>
    </r>
  </si>
  <si>
    <t xml:space="preserve">AM Step 0 / Step 4 Module 4-3 (Hydraulics) · จาก OPL 5-A-1 … 5-C-13 (JIPM-Solutions · Equipment Skills Training – Hydraulic) · วิดีโอ EP01–EP21</t>
  </si>
  <si>
    <t xml:space="preserve">เครื่องจักร</t>
  </si>
  <si>
    <t xml:space="preserve">Line / แผนก</t>
  </si>
  <si>
    <t xml:space="preserve">ผู้จัดทำ</t>
  </si>
  <si>
    <t xml:space="preserve">วันที่</t>
  </si>
  <si>
    <t xml:space="preserve">ชีท</t>
  </si>
  <si>
    <t xml:space="preserve">ใช้ทำอะไร</t>
  </si>
  <si>
    <t xml:space="preserve">System_Map</t>
  </si>
  <si>
    <t xml:space="preserve">ระบบไฮดรอลิกตามทางน้ำมัน 3 ส่วน (แหล่งกำเนิดแรงดัน · ส่วนควบคุม · ส่วนทำงาน) + อุปกรณ์ประกอบ + ช่องกรอกตำแหน่ง/Tag No./จำนวนบนเครื่องจริง</t>
  </si>
  <si>
    <t xml:space="preserve">Component_Analysis</t>
  </si>
  <si>
    <t xml:space="preserve">แต่ละชิ้นส่วน: หน้าที่ · โครงสร้าง · หลักการ · สภาพที่ถูกต้อง · การเสื่อม (ปกติ/เร่ง) · ผลถ้าปล่อยไว้ · จุดตรวจ AM · งาน PM · Safety</t>
  </si>
  <si>
    <t xml:space="preserve">Forced_Deterioration</t>
  </si>
  <si>
    <t xml:space="preserve">6 สาเหตุของการเสีย (6 Factors of failures) → ตัวอย่างในระบบไฮดรอลิก → มาตรการ → ข้อตรวจใน AM Check Sheet</t>
  </si>
  <si>
    <t xml:space="preserve">Operating_Conditions</t>
  </si>
  <si>
    <t xml:space="preserve">ค่ามาตรฐานและรอบการดูแล (ตามต้นฉบับ) + ช่องกรอกค่าของเครื่องนี้</t>
  </si>
  <si>
    <t xml:space="preserve">Skill_Check</t>
  </si>
  <si>
    <t xml:space="preserve">แบบทดสอบ 10 ข้อหลังดูวิดีโอ + ตารางผลรายคน (ระดับทักษะ 1–4) · เฉลยอยู่ชีท Answer_Key</t>
  </si>
  <si>
    <t xml:space="preserve">To_Confirm</t>
  </si>
  <si>
    <t xml:space="preserve">ประเด็นที่หัวหน้างาน/ฝ่ายซ่อม/Safety ต้องยืนยันก่อนใช้จริง</t>
  </si>
  <si>
    <t xml:space="preserve">ป้ายที่มา</t>
  </si>
  <si>
    <t xml:space="preserve">PDF p.x = จากต้นฉบับ · [INFER] = หลักวิศวกรรมทั่วไป ไม่อยู่ในต้นฉบับ · * = ข้อเสนอ ให้หัวหน้างานยืนยัน · [DATA REQUIRED] = ค่าของเครื่อง (ช่องเหลือง)</t>
  </si>
  <si>
    <t xml:space="preserve">ความเชื่อมั่น (Confidence)</t>
  </si>
  <si>
    <t xml:space="preserve">HIGH: ข้อที่มี PDF p.x · MEDIUM: ข้อ [INFER] · ต้องกรอก [DATA REQUIRED] ก่อนใช้กับเครื่องจริง</t>
  </si>
  <si>
    <t xml:space="preserve">วิธีใช้</t>
  </si>
  <si>
    <t xml:space="preserve">1) ทีมเดินดูเครื่องจริงพร้อมชีท System_Map กรอกตำแหน่ง · 2) หัวหน้าทีมสอนด้วยวิดีโอ + Component_Analysis · 3) ทำ Skill_Check · 4) ติด Visual control ตามจุดตรวจ</t>
  </si>
  <si>
    <t xml:space="preserve">เชื่อมกับ</t>
  </si>
  <si>
    <t xml:space="preserve">AM_Check_Sheet_Hydraulic_Unit.xlsx (จุดตรวจรายวัน/สัปดาห์/รอบ) · วิดีโอ EP01–EP21</t>
  </si>
  <si>
    <t xml:space="preserve">System Map — ระบบไฮดรอลิกของเครื่อง (ตามทางน้ำมัน)</t>
  </si>
  <si>
    <t xml:space="preserve">วงจรตัวอย่างตามต้นฉบับ PDF p.4, p.6 · ช่องสีเหลือง = กรอกจากการเดินดูเครื่องจริง</t>
  </si>
  <si>
    <t xml:space="preserve">ทางน้ำมัน: ถังน้ำมัน → Suction filter → Hydraulic pump (มอเตอร์ขับ) → Relief valve (ส่วนเกินกลับถัง) · เกจ · Stop valve → Solenoid valve → Flow regulating valve → Hydraulic cylinder → น้ำมันไหลกลับถัง</t>
  </si>
  <si>
    <t xml:space="preserve">ส่วน (p.4)</t>
  </si>
  <si>
    <t xml:space="preserve">กลุ่ม</t>
  </si>
  <si>
    <t xml:space="preserve">ชิ้นส่วน</t>
  </si>
  <si>
    <t xml:space="preserve">หน้าที่</t>
  </si>
  <si>
    <t xml:space="preserve">ตำแหน่ง / Tag No. บนเครื่อง</t>
  </si>
  <si>
    <t xml:space="preserve">จำนวน</t>
  </si>
  <si>
    <t xml:space="preserve">OPL · วิดีโอ</t>
  </si>
  <si>
    <t xml:space="preserve">ที่มา</t>
  </si>
  <si>
    <t xml:space="preserve">①</t>
  </si>
  <si>
    <t xml:space="preserve">แหล่งกำเนิดแรงดัน (Pressure source)</t>
  </si>
  <si>
    <t xml:space="preserve">Oil tank (ถังน้ำมัน)</t>
  </si>
  <si>
    <t xml:space="preserve">เก็บน้ำมัน (ตัวกลางส่งกำลัง) · แยกสิ่งสกปรก · รักษาอุณหภูมิน้ำมัน</t>
  </si>
  <si>
    <t xml:space="preserve">5-A-1, 5-C-4 · EP01, EP17</t>
  </si>
  <si>
    <t xml:space="preserve">PDF p.3–4, p.21</t>
  </si>
  <si>
    <t xml:space="preserve">Hydraulic pump + Electric motor</t>
  </si>
  <si>
    <t xml:space="preserve">ดูดน้ำมันจากถัง ให้กำลังแก่น้ำมัน ส่งไปทุกส่วน</t>
  </si>
  <si>
    <t xml:space="preserve">5-A-5, 5-C-2 · EP04, EP14</t>
  </si>
  <si>
    <t xml:space="preserve">PDF p.3–4, p.7</t>
  </si>
  <si>
    <t xml:space="preserve">—</t>
  </si>
  <si>
    <t xml:space="preserve">อุปกรณ์ประกอบ (Accessory)</t>
  </si>
  <si>
    <t xml:space="preserve">Suction filter / Strainer · Line filter</t>
  </si>
  <si>
    <t xml:space="preserve">กรองสิ่งสกปรกในน้ำมัน</t>
  </si>
  <si>
    <t xml:space="preserve">5-C-5, 5-C-7 · EP17, EP18</t>
  </si>
  <si>
    <t xml:space="preserve">PDF p.3, p.6, p.23</t>
  </si>
  <si>
    <t xml:space="preserve">②</t>
  </si>
  <si>
    <t xml:space="preserve">ส่วนควบคุม (Control) · Pressure</t>
  </si>
  <si>
    <t xml:space="preserve">Relief valve (Pressure control valve)</t>
  </si>
  <si>
    <t xml:space="preserve">ตั้งแรงดันจ่ายของปั๊ม · รักษาแรงดันวงจรให้คงที่</t>
  </si>
  <si>
    <t xml:space="preserve">5-A-6, 5-C-8 · EP05, EP19</t>
  </si>
  <si>
    <t xml:space="preserve">PDF p.4, p.8, p.27</t>
  </si>
  <si>
    <t xml:space="preserve">Pressure gauge (เกจแรงดัน)</t>
  </si>
  <si>
    <t xml:space="preserve">วัดแรงดันในวงจร</t>
  </si>
  <si>
    <t xml:space="preserve">5-C-6, 5-C-7 · EP18</t>
  </si>
  <si>
    <t xml:space="preserve">PDF p.3–4, p.24</t>
  </si>
  <si>
    <t xml:space="preserve">ส่วนควบคุม (Control) · Direction</t>
  </si>
  <si>
    <t xml:space="preserve">Solenoid valve (Direction switch valve)</t>
  </si>
  <si>
    <t xml:space="preserve">เปลี่ยนทิศ/หยุดการไหล ให้ Actuator เริ่ม หยุด เปลี่ยนทิศ</t>
  </si>
  <si>
    <t xml:space="preserve">5-A-7, 5-C-9 · EP06, EP19</t>
  </si>
  <si>
    <t xml:space="preserve">PDF p.4, p.9, p.29</t>
  </si>
  <si>
    <t xml:space="preserve">ส่วนควบคุม (Control) · Flow</t>
  </si>
  <si>
    <t xml:space="preserve">Flow adjustment valve (w/ check valve)</t>
  </si>
  <si>
    <t xml:space="preserve">ปรับความเร็วงาน</t>
  </si>
  <si>
    <t xml:space="preserve">5-A-2, 5-A-4 · EP01, EP03</t>
  </si>
  <si>
    <t xml:space="preserve">PDF p.4, p.6</t>
  </si>
  <si>
    <t xml:space="preserve">③</t>
  </si>
  <si>
    <t xml:space="preserve">ส่วนทำงาน (Actuator)</t>
  </si>
  <si>
    <t xml:space="preserve">Hydraulic cylinder (+ Cushion)</t>
  </si>
  <si>
    <t xml:space="preserve">เปลี่ยนแรงดันน้ำมันเป็นงานทางกล</t>
  </si>
  <si>
    <t xml:space="preserve">5-A-8, 5-A-9, 5-C-10 · EP07, EP20</t>
  </si>
  <si>
    <t xml:space="preserve">PDF p.3–4, p.10–11, p.31</t>
  </si>
  <si>
    <t xml:space="preserve">Air breather (Air cleaner)</t>
  </si>
  <si>
    <t xml:space="preserve">กันฝุ่นเข้าถัง · รักษาความดันบรรยากาศในถัง</t>
  </si>
  <si>
    <t xml:space="preserve">5-C-4, 5-C-5 · EP17</t>
  </si>
  <si>
    <t xml:space="preserve">PDF p.21–22</t>
  </si>
  <si>
    <t xml:space="preserve">Oil level meter · Thermometer</t>
  </si>
  <si>
    <t xml:space="preserve">ดูระดับ สี และอุณหภูมิน้ำมัน</t>
  </si>
  <si>
    <t xml:space="preserve">5-C-4, 5-C-7 · EP17, EP18</t>
  </si>
  <si>
    <t xml:space="preserve">PDF p.21, p.26</t>
  </si>
  <si>
    <t xml:space="preserve">ท่อ · ข้อต่อ · High-pressure hose</t>
  </si>
  <si>
    <t xml:space="preserve">ส่งน้ำมันระหว่างอุปกรณ์</t>
  </si>
  <si>
    <t xml:space="preserve">5-C-12, 5-C-13 · EP21</t>
  </si>
  <si>
    <t xml:space="preserve">PDF p.3, p.33–34</t>
  </si>
  <si>
    <t xml:space="preserve">ซีล (Seal)</t>
  </si>
  <si>
    <t xml:space="preserve">O-ring · Packing</t>
  </si>
  <si>
    <t xml:space="preserve">กันน้ำมันรั่ว</t>
  </si>
  <si>
    <t xml:space="preserve">5-A-10, 5-C-11 · EP08</t>
  </si>
  <si>
    <t xml:space="preserve">PDF p.12, p.32</t>
  </si>
  <si>
    <t xml:space="preserve">Know My Machine — Component Analysis · ระบบไฮดรอลิก</t>
  </si>
  <si>
    <t xml:space="preserve">อ่านจากซ้ายไปขวา: รู้หน้าที่ → รู้สภาพที่ถูกต้อง → รู้ว่าเสื่อมอย่างไร → รู้ว่าต้องตรวจอะไร · ข้อความสีส้ม = [INFER] / * / [DATA REQUIRED]</t>
  </si>
  <si>
    <t xml:space="preserve">หน้าที่ (Function)</t>
  </si>
  <si>
    <t xml:space="preserve">โครงสร้าง / ชิ้นส่วนสำคัญ</t>
  </si>
  <si>
    <t xml:space="preserve">หลักการทำงาน</t>
  </si>
  <si>
    <t xml:space="preserve">สภาพที่ถูกต้อง (Basic condition)</t>
  </si>
  <si>
    <t xml:space="preserve">การเสื่อม (ปกติ / เร่ง = Forced)</t>
  </si>
  <si>
    <t xml:space="preserve">ถ้าปล่อยไว้ → ผลกระทบ</t>
  </si>
  <si>
    <t xml:space="preserve">จุดตรวจ AM (วิธี · รอบ)</t>
  </si>
  <si>
    <t xml:space="preserve">งาน PM</t>
  </si>
  <si>
    <t xml:space="preserve">Safety</t>
  </si>
  <si>
    <t xml:space="preserve">Oil tank
(ถังน้ำมัน)</t>
  </si>
  <si>
    <t xml:space="preserve">เก็บน้ำมันไฮดรอลิก (ตัวกลางส่งกำลัง) · ให้สิ่งสกปรกตกตะกอน · รักษาอุณหภูมิน้ำมัน</t>
  </si>
  <si>
    <t xml:space="preserve">ตัวถัง · Manhole · ช่องเติมน้ำมัน · Air breather · Oil level meter · Temp. gauge · Baffle plate · Filter</t>
  </si>
  <si>
    <t xml:space="preserve">สิ่งสกปรกที่ไหลกลับตกตะกอน เพราะท่อกลับอยู่ห่างท่อดูด (แม่เหล็กช่วยจับผงเล็ก) · Baffle plate ไล่ฟอง ระบายความร้อน แยกสิ่งสกปรก</t>
  </si>
  <si>
    <t xml:space="preserve">ปั๊มหยุด: ระดับถึงขีดบน · น้ำมันใส ไม่มีสี · อุณหภูมิ &lt; 55 °C · ไม่มีรอยรั่ว</t>
  </si>
  <si>
    <t xml:space="preserve">น้ำมันเสื่อม: ใส → น้ำตาล → ดำ · ร้อนเกิน 50–60 °C เสื่อมเร็ว
เร่ง: ระดับต่ำ · Air breather ตัน · ภายนอกสกปรกจนไม่เห็นรอยรั่ว</t>
  </si>
  <si>
    <t xml:space="preserve">น้ำมันน้อย/มีฟอง → ปั๊มดูดอากาศ เสียงดัง · ร้อนเกิน → ความหนืดลด หล่อลื่นไม่ดี รั่ว</t>
  </si>
  <si>
    <t xml:space="preserve">ระดับ · สี · อุณหภูมิ: ตา/มือ · ทุกวันหลังเลิกงาน (ปั๊มหยุด)
รอยรั่วที่ถัง: ทุกวัน</t>
  </si>
  <si>
    <t xml:space="preserve">ทำความสะอาดภายในทาง Manhole · ตรวจความสกปรกของน้ำมัน (Regular check)</t>
  </si>
  <si>
    <t xml:space="preserve">น้ำมันไฮดรอลิกติดไฟได้ — ต้องป้องกันไฟ</t>
  </si>
  <si>
    <t xml:space="preserve">5-C-4, 5-C-5, 5-C-7 · EP17, EP18</t>
  </si>
  <si>
    <t xml:space="preserve">PDF p.5, p.14, p.17, p.20–22, p.26</t>
  </si>
  <si>
    <t xml:space="preserve">Hydraulic pump
(Vane pump) + Motor</t>
  </si>
  <si>
    <t xml:space="preserve">ดูดน้ำมันจากถัง ให้แรงดันแก่น้ำมัน ส่งไปทุกส่วนของวงจร</t>
  </si>
  <si>
    <t xml:space="preserve">Rotor · Vane · Round ring · Drive shaft · ช่องดูด/ช่องส่ง · Coupling · Shaft seal</t>
  </si>
  <si>
    <t xml:space="preserve">Rotor หมุน → Vane ถูกเหวี่ยงชน Round ring เกิดห้องปั๊ม · ห้องขยาย-หดระหว่างหมุน → ดูดและส่งน้ำมัน</t>
  </si>
  <si>
    <t xml:space="preserve">เริ่มเดิน: เงียบ · จ่ายน้ำมันออกปกติ · ขณะเดิน: ไม่ร้อน ไม่สั่นผิดปกติ</t>
  </si>
  <si>
    <t xml:space="preserve">ชิ้นส่วนในปั๊มสึก · Shaft seal สึก (ดูดอากาศ) · Coupling เยื้องศูนย์ / จาระบีเสื่อม
เร่ง: Suction filter ตัน · น้ำมันหนืด/เย็นเกิน · รอบเกินกำหนด · Air breather ตัน · ระดับน้ำมันต่ำ</t>
  </si>
  <si>
    <t xml:space="preserve">Cavitation / Aeration → แรงดันและอัตราไหลไม่พอ เสียงดัง แรงดันสั่น · ขันฝาปั๊มแน่นเกิน → ร้อนผิดปกติ</t>
  </si>
  <si>
    <t xml:space="preserve">เสียงตอนเริ่มเดิน: หู · ทุกวัน (เทียบตารางเสียง)
สั่น/ร้อน: มือ · ทุกวันขณะเดิน</t>
  </si>
  <si>
    <t xml:space="preserve">ล้าง Suction filter · ตั้งศูนย์ Coupling + เติมจาระบี · เปลี่ยน Shaft seal · ซ่อมชิ้นส่วนภายใน</t>
  </si>
  <si>
    <t xml:space="preserve">ห้ามแตะส่วนหมุน (Coupling) [INFER]</t>
  </si>
  <si>
    <t xml:space="preserve">5-A-5, 5-B-2, 5-C-2, 5-C-3 · EP04, EP10, EP14, EP15</t>
  </si>
  <si>
    <t xml:space="preserve">PDF p.7, p.14, p.18–19</t>
  </si>
  <si>
    <t xml:space="preserve">Relief valve
(Balance piston type)</t>
  </si>
  <si>
    <t xml:space="preserve">ตั้งแรงดันจ่ายของปั๊ม · รักษาแรงดันวงจรให้คงที่ · ป้องกันโหลดเกิน</t>
  </si>
  <si>
    <t xml:space="preserve">Poppet · Pilot spring · Balance piston · Choke hole · Seat · Handle · Lock nut · Vent port</t>
  </si>
  <si>
    <t xml:space="preserve">แรงดันต่ำกว่าแรงสปริง → Poppet ปิด · สูงกว่า → Poppet เปิด น้ำมันห้อง X ไหลกลับถัง แรงดัน Z &gt; X ดัน Piston ขึ้น น้ำมันวงจรไหลกลับถัง → แรงดันลดถึงค่าตั้ง</t>
  </si>
  <si>
    <t xml:space="preserve">แรงดันนิ่งที่ค่าตั้งขณะทำงาน · Lock nut แน่น · ไม่รั่ว
ขัน Handle → แรงดันเพิ่ม · คลาย → ลด</t>
  </si>
  <si>
    <t xml:space="preserve">Poppet/Seat สึก-สกปรก · สปริงเสียหาย · Balance piston บกพร่อง · Choke hole ตัน
เร่ง: Lock nut หลวม → ค่าตั้งเปลี่ยน · อากาศปนในน้ำมัน</t>
  </si>
  <si>
    <t xml:space="preserve">แรงดันไม่พอ · แรงดันไม่นิ่ง · สั่นพร้อมเสียงแหลม “ปี๊”</t>
  </si>
  <si>
    <t xml:space="preserve">แรงดันวงจรไม่เปลี่ยนขณะทำงาน: ตา · ทุกวัน
น้ำมันรั่วจากตัววาล์ว: รายสัปดาห์ *</t>
  </si>
  <si>
    <t xml:space="preserve">ถอดล้าง/เปลี่ยน Poppet · Seat · สปริง · Lapping หรือเปลี่ยน Balance piston · ทดสอบหมุน Handle แล้วตั้งค่า + ขัน Lock nut</t>
  </si>
  <si>
    <t xml:space="preserve">หมุน Handle เฉพาะผู้ได้รับมอบหมาย *</t>
  </si>
  <si>
    <t xml:space="preserve">5-A-6, 5-B-3, 5-C-8 · EP05, EP11, EP19</t>
  </si>
  <si>
    <t xml:space="preserve">PDF p.8, p.15, p.17, p.27–28</t>
  </si>
  <si>
    <t xml:space="preserve">Solenoid valve
(Direction control valve)</t>
  </si>
  <si>
    <t xml:space="preserve">เปลี่ยนทิศทาง/หยุดการไหลของน้ำมัน ให้ Actuator เริ่ม หยุด เปลี่ยนทิศ</t>
  </si>
  <si>
    <t xml:space="preserve">Spool · Body · Push rod · Centering spring · Coil · Iron core (Plunger) · Port P / T / A / B</t>
  </si>
  <si>
    <t xml:space="preserve">ไม่จ่ายไฟ → สปริงดัน Spool อยู่กลาง ไม่มีพอร์ตต่อกัน · Sol a ON → P–B, A–T · Sol b ON → P–A, B–T</t>
  </si>
  <si>
    <t xml:space="preserve">ไม่รั่วที่ตัววาล์ว/ฐาน · โบลต์ไม่หลวม · ไม่มีเสียงคราง “บูน” ขณะ ON · สายไฟไม่ชำรุด</t>
  </si>
  <si>
    <t xml:space="preserve">Coil ไหม้ · Spool ติด · สปริงหัก · Back pressure ที่ Tank port เกิน
เร่ง: แรงดันไฟเกิน · สลับบ่อยเกิน · ต่อสาย 50/60 Hz ผิด · วงจรไฟให้ Sol สองข้าง ON พร้อมกัน</t>
  </si>
  <si>
    <t xml:space="preserve">Spool เลื่อนไม่สุด → เสียงคราง → Coil ไหม้ · Actuator ไม่ทำงาน/ทำงานผิด [INFER]</t>
  </si>
  <si>
    <t xml:space="preserve">เสียงคราง: หู · ทุกวันขณะเดิน
รั่ว · โบลต์ · สายไฟ: ตา (เช็ดด้วยผ้าก่อน) · รายสัปดาห์ *</t>
  </si>
  <si>
    <t xml:space="preserve">เปลี่ยน Coil · แก้ Spool/สปริง · ตรวจวงจรไฟและความถี่ไฟ</t>
  </si>
  <si>
    <t xml:space="preserve">ตัดไฟ + ปล่อยแรงดันจนเกจชี้ 0 + LOTO ก่อนถอด *</t>
  </si>
  <si>
    <t xml:space="preserve">5-A-7, 5-B-4, 5-C-9 · EP06, EP12, EP19</t>
  </si>
  <si>
    <t xml:space="preserve">PDF p.9, p.16, p.18, p.29–30</t>
  </si>
  <si>
    <t xml:space="preserve">Flow adjustment valve
(Flow regulating valve)</t>
  </si>
  <si>
    <t xml:space="preserve">ปรับความเร็วงาน (อัตราไหล) · ปรับง่ายและปลอดภัย</t>
  </si>
  <si>
    <t xml:space="preserve">Throttle (ปรับอัตราไหล) · Check valve</t>
  </si>
  <si>
    <t xml:space="preserve">การเคลื่อนที่ราบรื่น · เวลาต่อรอบเท่าค่าปกติ</t>
  </si>
  <si>
    <t xml:space="preserve">เร่ง: ความเร็วเครื่องเปลี่ยนตามอุณหภูมิน้ำมัน (ความหนืดเปลี่ยน) ตั้งแต่เริ่มงานจนเลิกงาน</t>
  </si>
  <si>
    <t xml:space="preserve">ความเร็วไม่ได้ตามกำหนด</t>
  </si>
  <si>
    <t xml:space="preserve">การเคลื่อนที่ + เวลาต่อรอบ: ตา + นาฬิกาจับเวลา · ทุกวันขณะเดิน</t>
  </si>
  <si>
    <t xml:space="preserve">ปรับตั้งความเร็ว [DATA REQUIRED]</t>
  </si>
  <si>
    <t xml:space="preserve">5-A-2, 5-A-3, 5-C-3 · EP01, EP02, EP15</t>
  </si>
  <si>
    <t xml:space="preserve">PDF p.4–6, p.19</t>
  </si>
  <si>
    <t xml:space="preserve">Hydraulic cylinder
(+ Cushion)</t>
  </si>
  <si>
    <t xml:space="preserve">ใช้แรงดันน้ำมันทำงานจริง (Actuator)</t>
  </si>
  <si>
    <t xml:space="preserve">Piston · Rod · Piston U packing · Rod packing · Dust seal · Cushion ring · Cushion valve + Lock nut · Check valve · Air vent</t>
  </si>
  <si>
    <t xml:space="preserve">Piston รับแรงดันดัน Rod · ปลายจังหวะน้ำมันห้อง A ถูกบีบผ่าน Choke/Cushion valve → ชะลอ ลดแรงกระแทก · ขากลับน้ำมันผ่าน Check valve</t>
  </si>
  <si>
    <t xml:space="preserve">ไม่รั่วที่ข้อต่อท่อ/Dust seal · โบลต์ไม่หลวม · ก้านสูบเงาเหมือนกระจก · Dust seal ไม่ฉีก/สึก</t>
  </si>
  <si>
    <t xml:space="preserve">Packing / Dust seal สึก · ก้านสูบมีรอยขีดข่วน
เร่ง: สิ่งสกปรกเกาะก้านสูบ · โบลต์หลวม</t>
  </si>
  <si>
    <t xml:space="preserve">น้ำมันรั่ว · ความเร็วไม่ได้ (ปั๊มส่งไม่พอ · Relief เสีย · รั่วภายในมาก · แรงเสียดทานด้านขับมาก) · ไม่มี Cushion → แรงกระแทกทำลายท่อและวาล์ว</t>
  </si>
  <si>
    <t xml:space="preserve">สิ่งสกปรกบนส่วนเลื่อน: ทุกวันหลังเลิกงาน
รั่ว · โบลต์ · ก้านสูบ · Dust seal: ตา (เช็ดก่อน) · รายสัปดาห์ *</t>
  </si>
  <si>
    <t xml:space="preserve">ปรับ Cushion valve (อย่าสับสนกับ Check valve blank) · เปลี่ยน Packing / Dust seal</t>
  </si>
  <si>
    <t xml:space="preserve">ปรับ Cushion ขณะแรงดันสูง (อาจเกิน 100 kgf/cm²) — ทำตามคำแนะนำฝ่ายซ่อม</t>
  </si>
  <si>
    <t xml:space="preserve">5-A-8, 5-A-9, 5-C-10 · EP07, EP16, EP20</t>
  </si>
  <si>
    <t xml:space="preserve">PDF p.10–11, p.20, p.31</t>
  </si>
  <si>
    <t xml:space="preserve">Pressure gauge
(เกจแรงดัน)</t>
  </si>
  <si>
    <t xml:space="preserve">วัดแรงดันในวงจร (แบบ Bourdon tube)</t>
  </si>
  <si>
    <t xml:space="preserve">Bourdon tube · Rack &amp; pinion · Indicator · Scale</t>
  </si>
  <si>
    <t xml:space="preserve">Bourdon tube ยืดตามแรงดัน → Rack &amp; pinion หมุนเข็ม [INFER]</t>
  </si>
  <si>
    <t xml:space="preserve">ขณะเดิน: ที่ค่าตั้ง (แถบเขียว) · แกว่งไม่เกิน ±3 kgf/cm² · หลังเลิกงาน: ชี้ 0</t>
  </si>
  <si>
    <t xml:space="preserve">เข็มต่ำกว่า 0 → ต้องซ่อม
เร่ง: เลือกสเกลไม่เหมาะ (แกว่งน้อย ใช้ ≤ 2/3 สเกล · แกว่งมาก ≤ 1/2)</t>
  </si>
  <si>
    <t xml:space="preserve">อ่านแรงดันผิด → ไม่เห็นความผิดปกติ [INFER]</t>
  </si>
  <si>
    <t xml:space="preserve">เข็มแกว่ง: ตา · ทุกวันขณะเดิน
ชี้ 0: ทุกวันหลังเลิกงาน
แถบเขียว/แดง: รายสัปดาห์ *</t>
  </si>
  <si>
    <t xml:space="preserve">ซ่อม/เปลี่ยนเกจ · ทำแถบสีเขียว/แดง (ถอดกระจกขณะไม่มีแรงดัน ห้ามเลยขอบสเกล)</t>
  </si>
  <si>
    <t xml:space="preserve">5-C-3, 5-C-6, 5-C-7 · EP15, EP16, EP18</t>
  </si>
  <si>
    <t xml:space="preserve">PDF p.19–20, p.24–26</t>
  </si>
  <si>
    <t xml:space="preserve">Filter / Strainer
(ตัวกรองน้ำมัน)</t>
  </si>
  <si>
    <t xml:space="preserve">กรองสิ่งสกปรกในน้ำมัน · Strainer ตาหยาบ แรงต้านต่ำ ใช้ด้านดูด · Filter ตาละเอียด ใช้ในท่อทางเข้า-ออก</t>
  </si>
  <si>
    <t xml:space="preserve">Filter medium (Element) · Inner cylinder · Safety valve · Indicator / Vacuum meter</t>
  </si>
  <si>
    <t xml:space="preserve">Element: ตะแกรงลวด/ใยสังเคราะห์ · กระดาษกรอง · Sintered alloy · Depth filter</t>
  </si>
  <si>
    <t xml:space="preserve">Indicator เขียว · Vacuum meter ≤ 10 cmHg</t>
  </si>
  <si>
    <t xml:space="preserve">Element ตัน
เร่ง: น้ำมันสกปรก · Strainer ความจุไม่พอ</t>
  </si>
  <si>
    <t xml:space="preserve">Suction ตัน → Cavitation เสียงดัง แรงดันไม่พอ</t>
  </si>
  <si>
    <t xml:space="preserve">Indicator: ตา · ทุกวันตอนเริ่มเดิน
Vacuum meter / Indicator: ทุก 6 เดือน</t>
  </si>
  <si>
    <t xml:space="preserve">ทำความสะอาด/เปลี่ยน Element</t>
  </si>
  <si>
    <t xml:space="preserve">5-B-2, 5-C-2, 5-C-5, 5-C-7 · EP10, EP14, EP17, EP18</t>
  </si>
  <si>
    <t xml:space="preserve">PDF p.14, p.18, p.23, p.26</t>
  </si>
  <si>
    <t xml:space="preserve">Air breather
(Air cleaner)</t>
  </si>
  <si>
    <t xml:space="preserve">กันฝุ่นเข้าทางรูระบายบนถัง · รักษาความดันบรรยากาศในถังแม้โหลดสูงสุด</t>
  </si>
  <si>
    <t xml:space="preserve">แบบไส้กรอง (Steel wool · ต้นฉบับ “Steam wool”) · แบบ Oil bath (ใช้ที่ฝุ่นมาก)</t>
  </si>
  <si>
    <t xml:space="preserve">ไส้กรองไม่มีฝุ่น</t>
  </si>
  <si>
    <t xml:space="preserve">ไส้กรองสกปรก/ตัน
เร่ง: ฝุ่นในพื้นที่มาก</t>
  </si>
  <si>
    <t xml:space="preserve">ตัน → ปั๊มเสียงดัง</t>
  </si>
  <si>
    <t xml:space="preserve">ดูฝุ่นที่ไส้กรอง: ตา · ความถี่ *</t>
  </si>
  <si>
    <t xml:space="preserve">สกปรก → ล้างน้ำมันก๊าดหรือเปลี่ยน (ตามวัสดุไส้กรอง)</t>
  </si>
  <si>
    <t xml:space="preserve">PDF p.14, p.21–22</t>
  </si>
  <si>
    <t xml:space="preserve">ท่อ · ข้อต่อ ·
High-pressure hose</t>
  </si>
  <si>
    <t xml:space="preserve">ท่อ · ข้อต่อ · สายแรงดันสูง (ลวดเสริม) · Lock clamp · Band</t>
  </si>
  <si>
    <t xml:space="preserve">สายยืด-หดตามแรงดัน · แนวโค้งเปลี่ยนเมื่อมีแรงดัน ต้องยึดส่วนโค้งให้คงรูป</t>
  </si>
  <si>
    <t xml:space="preserve">ไม่บิด · แนวตรงหย่อนเล็กน้อย · มี Band กันเสียดสี · สายที่เคลื่อนที่ซ้ำมีความยาวเผื่อ ไม่งอชิดปลายโลหะ · Clamp แน่น</t>
  </si>
  <si>
    <t xml:space="preserve">งอชิดข้อต่อ · ลวดเสริมขาด · สายบวม (มักภายใน 500 mm จากข้อต่อ) · Clamp หลวม · สายเสียดสีกัน
เร่ง: ติดตั้งบิด/ผิดวิธี · ท่อหลวม</t>
  </si>
  <si>
    <t xml:space="preserve">น้ำมันรั่ว (1 หยดทุก 10 วินาที = 151 ลิตร/ปี) · สายแตก</t>
  </si>
  <si>
    <t xml:space="preserve">รอยรั่ว · คราบน้ำมันบนพื้น: ตา · ทุกวันหลังเลิกงาน
สภาพสาย · Clamp: รายสัปดาห์ *</t>
  </si>
  <si>
    <t xml:space="preserve">เปลี่ยนสาย · ติดตั้งใหม่ตามวิธีที่ถูกต้อง</t>
  </si>
  <si>
    <t xml:space="preserve">ห้ามคลายข้อต่อขณะมีแรงดัน — เกจต้องชี้ 0 * · น้ำมันแรงดันสูงพุ่งทะลุผิวหนังได้ [INFER]</t>
  </si>
  <si>
    <t xml:space="preserve">5-B-1, 5-C-3, 5-C-12, 5-C-13 · EP09, EP16, EP21</t>
  </si>
  <si>
    <t xml:space="preserve">PDF p.3, p.13, p.17, p.20, p.33–34</t>
  </si>
  <si>
    <t xml:space="preserve">O-ring · Packing
(ซีล)</t>
  </si>
  <si>
    <t xml:space="preserve">O-ring ตาม JIS B2401: 1A (Hs70) · 1B (Hs90) น้ำมันแร่ · 2 น้ำมันเบนซิน · 3 น้ำมันสัตว์/พืช · 4C · 4D ทนความร้อน · มีรหัสสีระบุวัสดุ</t>
  </si>
  <si>
    <t xml:space="preserve">ร่องติดตั้ง 3 จุดสำคัญ: ช่องว่าง (Gap) · ความหยาบผิว · ระยะบีบอัด</t>
  </si>
  <si>
    <t xml:space="preserve">วัสดุ/ขนาดถูกต้อง · ขันตาม Torque ผู้ผลิต · ผิวร่องไม่มีรอยขีดข่วน</t>
  </si>
  <si>
    <t xml:space="preserve">แรงดันสูงดัน O-ring เข้าช่องว่าง อายุสั้น · Seal packing เสื่อม
เร่ง: ใส่ผิดขนาด/วัสดุ · ขันแน่นเกิน Torque → วาล์วผิดรูปทำงานผิด</t>
  </si>
  <si>
    <t xml:space="preserve">น้ำมันรั่ว</t>
  </si>
  <si>
    <t xml:space="preserve">รอยรั่วตามจุดต่อ: ตา · ทุกวัน (ใช้ข้อรอยรั่วใน AM Check Sheet)</t>
  </si>
  <si>
    <t xml:space="preserve">เมื่อรั่ว: ตรวจ Gap · ผิว · ระยะบีบ · เลือก O-ring ตามรหัสสี/วัสดุ · ผิวร่องมีรอย → แจ้งฝ่ายซ่อม</t>
  </si>
  <si>
    <t xml:space="preserve">5-A-10, 5-C-1, 5-C-11 · EP08, EP13</t>
  </si>
  <si>
    <t xml:space="preserve">PDF p.12, p.17, p.32</t>
  </si>
  <si>
    <r>
      <rPr>
        <b val="true"/>
        <sz val="15"/>
        <color rgb="FFFFFFFF"/>
        <rFont val="Tahoma"/>
        <family val="0"/>
        <charset val="1"/>
      </rPr>
      <t xml:space="preserve">Forced Deterioration — การเสื่อมแบบเร่ง (</t>
    </r>
    <r>
      <rPr>
        <b val="true"/>
        <sz val="15"/>
        <color rgb="FFFFFFFF"/>
        <rFont val="WenQuanYi Zen Hei"/>
        <family val="2"/>
      </rPr>
      <t xml:space="preserve">強制劣化 </t>
    </r>
    <r>
      <rPr>
        <b val="true"/>
        <sz val="15"/>
        <color rgb="FFFFFFFF"/>
        <rFont val="Tahoma"/>
        <family val="0"/>
        <charset val="1"/>
      </rPr>
      <t xml:space="preserve">= เสื่อมเพราะคนหรือสภาพแวดล้อม)</t>
    </r>
  </si>
  <si>
    <t xml:space="preserve">สมการ: การเสีย = ภาระ (Stress) &gt; ความแข็งแรง (Strength) · 6 สาเหตุ → 6 มาตรการ (JIPM AM)</t>
  </si>
  <si>
    <t xml:space="preserve">6 สาเหตุของการเสีย (6 Factors of failures)</t>
  </si>
  <si>
    <t xml:space="preserve">ตัวอย่างในระบบไฮดรอลิก</t>
  </si>
  <si>
    <t xml:space="preserve">มาตรการ (Countermeasure)</t>
  </si>
  <si>
    <t xml:space="preserve">ข้อตรวจใน AM Check Sheet</t>
  </si>
  <si>
    <t xml:space="preserve">สภาพพื้นฐานไม่ครบ (Poor basic conditions: CLT)</t>
  </si>
  <si>
    <t xml:space="preserve">C: ภายนอกสกปรกจนไม่เห็นรอยรั่ว · Air breather / Filter ตัน · L: ระดับน้ำมันต่ำ · จาระบี Coupling เสื่อม · T: Lock nut ของ Relief หลวม · ท่อหลวม → รั่ว · โบลต์กระบอกสูบหลวม</t>
  </si>
  <si>
    <t xml:space="preserve">PDF p.14, p.17, p.20–21, p.31</t>
  </si>
  <si>
    <t xml:space="preserve">Daily check ครบทุกข้อตามลำดับ (p.17)</t>
  </si>
  <si>
    <t xml:space="preserve">Daily: ภายนอก · ระดับน้ำมัน · Filter indicator · รอยรั่ว</t>
  </si>
  <si>
    <t xml:space="preserve">ไม่ใช้งานตามเงื่อนไข (Non-compliance with operating conditions)</t>
  </si>
  <si>
    <t xml:space="preserve">รอบปั๊มเกินกำหนด · ความหนืดน้ำมันไม่เหมาะ · อุณหภูมิน้ำมันสูงเกิน 50–60 °C · แรงดันไฟเกิน / สลับ Solenoid บ่อยเกิน</t>
  </si>
  <si>
    <t xml:space="preserve">PDF p.14, p.16, p.26</t>
  </si>
  <si>
    <t xml:space="preserve">แถบเขียว/แดงบนเกจและเทอร์โมมิเตอร์ · ป้ายค่าตั้ง *</t>
  </si>
  <si>
    <t xml:space="preserve">Daily: เกจแรงดัน · อุณหภูมิน้ำมัน</t>
  </si>
  <si>
    <t xml:space="preserve">ชิ้นส่วนเสื่อมไม่ได้แก้ (Deterioration not restored)</t>
  </si>
  <si>
    <t xml:space="preserve">ชิ้นส่วนปั๊มสึก · Poppet/Seat สึก · Seal packing เสื่อม · ลวดเสริมสายขาด · Dust seal สึก</t>
  </si>
  <si>
    <t xml:space="preserve">PDF p.14–15, p.17, p.31, p.33</t>
  </si>
  <si>
    <t xml:space="preserve">Regular check (p.17) + งาน PM · เปลี่ยนตามสภาพ</t>
  </si>
  <si>
    <t xml:space="preserve">Weekly: กระบอกสูบ · สายแรงดันสูง</t>
  </si>
  <si>
    <t xml:space="preserve">จุดอ่อนของการออกแบบ (Design weakness)</t>
  </si>
  <si>
    <t xml:space="preserve">ท่อดูดเล็ก/ยาวเกิน · Strainer ความจุไม่พอ · ถังไม่มี Baffle plate · ท่อกลับอยู่เหนือผิวน้ำมัน · Cushion ไม่พอรับแรงกระแทก</t>
  </si>
  <si>
    <t xml:space="preserve">PDF p.11, p.14</t>
  </si>
  <si>
    <t xml:space="preserve">แจ้ง PM / ทำ Kaizen sheet * (เช่น เพิ่ม Decelerating valve หรือ Damper ตาม p.11)</t>
  </si>
  <si>
    <t xml:space="preserve">Daily: เสียงปั๊มตอนเริ่มเดิน</t>
  </si>
  <si>
    <t xml:space="preserve">ใช้งาน/ซ่อมผิดวิธี (Mis-operation &amp; mis-repair)</t>
  </si>
  <si>
    <t xml:space="preserve">ขันฝาปั๊มแน่นเกิน → ร้อน · ต่อสาย 50/60 Hz ผิด · วงจรไฟให้ Sol สองข้าง ON · ใส่ O-ring ผิดขนาด · ขันเกิน Torque · ติดตั้งสายบิด · สับสน Cushion valve กับ Check valve blank</t>
  </si>
  <si>
    <t xml:space="preserve">PDF p.11, p.14, p.16, p.32–33</t>
  </si>
  <si>
    <t xml:space="preserve">สอน OPL (EP07, EP08, EP12, EP21) + Skill_Check</t>
  </si>
  <si>
    <t xml:space="preserve">Weekly: การติดตั้งสาย</t>
  </si>
  <si>
    <t xml:space="preserve">สภาพแวดล้อมเร่งการเสื่อม (Environment)</t>
  </si>
  <si>
    <t xml:space="preserve">ฝุ่นมากเข้าทาง Air breather · อุณหภูมิต่ำ &lt; 20 °C อันตรายตอนเริ่มเดิน · อากาศ/ฟองปนในน้ำมัน</t>
  </si>
  <si>
    <t xml:space="preserve">PDF p.14–15, p.22, p.26</t>
  </si>
  <si>
    <t xml:space="preserve">Air breather แบบ Oil bath ในพื้นที่ฝุ่นมาก (p.22) · อุ่นน้ำมันก่อนเดิน *</t>
  </si>
  <si>
    <t xml:space="preserve">Daily: Air breather · อุณหภูมิน้ำมัน</t>
  </si>
  <si>
    <t xml:space="preserve">Operating Conditions — ค่ามาตรฐานและรอบการดูแล</t>
  </si>
  <si>
    <t xml:space="preserve">ช่องสีเหลือง = กรอกค่าของเครื่องนี้ (ดู Catalog ผู้ผลิต / ฝ่ายซ่อม)</t>
  </si>
  <si>
    <t xml:space="preserve">หัวข้อ</t>
  </si>
  <si>
    <t xml:space="preserve">ค่ามาตรฐาน / รอบ (ต้นฉบับ)</t>
  </si>
  <si>
    <t xml:space="preserve">ค่าของเครื่องนี้</t>
  </si>
  <si>
    <t xml:space="preserve">ผู้ยืนยัน</t>
  </si>
  <si>
    <t xml:space="preserve">ค่าตั้งแรงดัน (Relief valve)</t>
  </si>
  <si>
    <t xml:space="preserve">[DATA REQUIRED] · ทำแถบเขียวที่ค่าตั้งบนเกจ (อ้างอิง: วงจรทั่วไป 40 kgf/cm²)</t>
  </si>
  <si>
    <t xml:space="preserve">PDF p.5, p.26</t>
  </si>
  <si>
    <t xml:space="preserve">เข็มเกจแกว่งขณะเดินเครื่อง</t>
  </si>
  <si>
    <t xml:space="preserve">ไม่เกิน ±3 kgf/cm²</t>
  </si>
  <si>
    <t xml:space="preserve">PDF p.19</t>
  </si>
  <si>
    <t xml:space="preserve">เลือกสเกลเกจ</t>
  </si>
  <si>
    <t xml:space="preserve">แรงดันแกว่งน้อย: ใช้งาน ≤ 2/3 ของสเกลเต็ม · แกว่งมาก: ≤ 1/2 (ต้นฉบับเขียน “more than 1/2”)</t>
  </si>
  <si>
    <t xml:space="preserve">PDF p.25</t>
  </si>
  <si>
    <t xml:space="preserve">อุณหภูมิน้ำมัน (ปั๊มหยุด)</t>
  </si>
  <si>
    <t xml:space="preserve">&lt; 55 °C · วางฝ่ามือบนถัง/ท่อได้ 3–4 วินาทีขึ้นไป</t>
  </si>
  <si>
    <t xml:space="preserve">PDF p.21</t>
  </si>
  <si>
    <t xml:space="preserve">ช่วงอุณหภูมิน้ำมัน</t>
  </si>
  <si>
    <t xml:space="preserve">30–46 °C เหมาะสม · 46–55 ปลอดภัย · 55–65 เตือน (ต้องมี Oil cooler) · 65–80 ขีดจำกัด (ทุก +8 °C อายุน้ำมันลดครึ่ง) · 80–100 ห้ามใช้ · &lt; 20 อันตรายตอนเริ่มเดิน</t>
  </si>
  <si>
    <t xml:space="preserve">PDF p.26 (อ่านจากรูป)</t>
  </si>
  <si>
    <t xml:space="preserve">ระดับน้ำมัน</t>
  </si>
  <si>
    <t xml:space="preserve">ปั๊มหยุด: ถึงขีดบนของเกจระดับ (ขณะเดินลดลงเพราะน้ำมันหมุนเวียน)</t>
  </si>
  <si>
    <t xml:space="preserve">สีน้ำมัน</t>
  </si>
  <si>
    <t xml:space="preserve">ใส ไม่มีสี = ใหม่ · น้ำตาล = เริ่มเสื่อม · ดำ = ต้องตรวจ</t>
  </si>
  <si>
    <t xml:space="preserve">Filter</t>
  </si>
  <si>
    <t xml:space="preserve">Vacuum meter ≤ 10 cmHg · Indicator เขียว · ตรวจทุก 6 เดือน</t>
  </si>
  <si>
    <t xml:space="preserve">PDF p.26</t>
  </si>
  <si>
    <t xml:space="preserve">เวลาต่อรอบกระบอกสูบ</t>
  </si>
  <si>
    <t xml:space="preserve">[DATA REQUIRED]</t>
  </si>
  <si>
    <t xml:space="preserve">ชนิดและความหนืดน้ำมันไฮดรอลิก</t>
  </si>
  <si>
    <t xml:space="preserve">[DATA REQUIRED] ตามคู่มือผู้ผลิต</t>
  </si>
  <si>
    <t xml:space="preserve">PDF p.14</t>
  </si>
  <si>
    <t xml:space="preserve">รอบปั๊มและ Torque ขันฝาปั๊ม/ข้อต่อ</t>
  </si>
  <si>
    <t xml:space="preserve">PDF p.14, p.32</t>
  </si>
  <si>
    <t xml:space="preserve">O-ring สำหรับน้ำมันแร่</t>
  </si>
  <si>
    <t xml:space="preserve">Class 1A (Hs70, สีน้ำเงิน 1 จุด) · 1B (Hs90, สีน้ำเงิน 2 จุด)</t>
  </si>
  <si>
    <t xml:space="preserve">PDF p.12</t>
  </si>
  <si>
    <t xml:space="preserve">ความสูญเสียจากน้ำมันรั่ว</t>
  </si>
  <si>
    <t xml:space="preserve">1 หยด/10 วินาที = 0.42 L/วัน = 151 L/ปี · HFI = ปริมาณเติมต่อปี ÷ ความจุถัง</t>
  </si>
  <si>
    <t xml:space="preserve">PDF p.13</t>
  </si>
  <si>
    <t xml:space="preserve">Skill Check — แบบทดสอบความรู้ระบบไฮดรอลิก (10 ข้อ)</t>
  </si>
  <si>
    <t xml:space="preserve">ทำหลังดูวิดีโอ EP01–EP21 · เฉลยอยู่ชีท Answer_Key · ผ่าน ≥ 8/10 * (ข้อเสนอ)</t>
  </si>
  <si>
    <t xml:space="preserve">ชื่อ</t>
  </si>
  <si>
    <t xml:space="preserve">ข้อ</t>
  </si>
  <si>
    <t xml:space="preserve">คำถาม</t>
  </si>
  <si>
    <t xml:space="preserve">คำตอบ</t>
  </si>
  <si>
    <t xml:space="preserve">ถูก (1/0)</t>
  </si>
  <si>
    <t xml:space="preserve">ระบบไฮดรอลิกแบ่งเป็น 3 ส่วนอะไรบ้าง  (EP01)</t>
  </si>
  <si>
    <t xml:space="preserve">ตรวจระดับน้ำมันในถังตอนไหน เกณฑ์คืออะไร  (EP17)</t>
  </si>
  <si>
    <t xml:space="preserve">สีน้ำมันไฮดรอลิกบอกอะไร  (EP17)</t>
  </si>
  <si>
    <t xml:space="preserve">ขณะปั๊มหยุด อุณหภูมิน้ำมันต้องต่ำกว่าเท่าไร ตรวจด้วยมืออย่างไร  (EP17)</t>
  </si>
  <si>
    <t xml:space="preserve">ขณะเดินเครื่อง เข็มเกจแกว่งได้ไม่เกินเท่าไร  (EP15)</t>
  </si>
  <si>
    <t xml:space="preserve">Lock nut ของ Relief valve หลวม จะเกิดอะไร  (EP13, EP19)</t>
  </si>
  <si>
    <t xml:space="preserve">Filter indicator สีเหลือง/แดง หรือ Vacuum meter เกิน 10 cmHg ต้องทำอะไร  (EP18)</t>
  </si>
  <si>
    <t xml:space="preserve">Solenoid valve มีเสียงคราง “บูน” ขณะ ON หมายถึงอะไร  (EP12, EP19)</t>
  </si>
  <si>
    <t xml:space="preserve">ก้านสูบที่ปกติต้องเป็นอย่างไร  (EP20)</t>
  </si>
  <si>
    <t xml:space="preserve">น้ำมันรั่ว 1 หยดทุก 10 วินาที เสียกี่ลิตรต่อปี  (EP09)</t>
  </si>
  <si>
    <t xml:space="preserve">คะแนนรวม</t>
  </si>
  <si>
    <t xml:space="preserve">ผลรายคน (Skill matrix · Module 4-3 Hydraulics)</t>
  </si>
  <si>
    <t xml:space="preserve">No.</t>
  </si>
  <si>
    <t xml:space="preserve">คะแนน (0–10)</t>
  </si>
  <si>
    <t xml:space="preserve">ผล</t>
  </si>
  <si>
    <t xml:space="preserve">ระดับทักษะ (1–4)</t>
  </si>
  <si>
    <t xml:space="preserve">ผู้ประเมิน</t>
  </si>
  <si>
    <t xml:space="preserve">Answer Key — เฉลย Skill Check</t>
  </si>
  <si>
    <t xml:space="preserve">สำหรับผู้สอน · ไม่ต้องพิมพ์แจกผู้เรียน</t>
  </si>
  <si>
    <t xml:space="preserve">เฉลย</t>
  </si>
  <si>
    <t xml:space="preserve">อ้างอิง</t>
  </si>
  <si>
    <t xml:space="preserve">ระบบไฮดรอลิกแบ่งเป็น 3 ส่วนอะไรบ้าง</t>
  </si>
  <si>
    <t xml:space="preserve">แหล่งกำเนิดแรงดัน (ถัง + ปั๊ม) · ส่วนควบคุม (วาล์ว) · ส่วนทำงาน (กระบอกสูบ)</t>
  </si>
  <si>
    <t xml:space="preserve">EP01 · PDF p.4</t>
  </si>
  <si>
    <t xml:space="preserve">ตรวจระดับน้ำมันในถังตอนไหน เกณฑ์คืออะไร</t>
  </si>
  <si>
    <t xml:space="preserve">ตอนปั๊มหยุด · ถึงขีดบนของเกจระดับ</t>
  </si>
  <si>
    <t xml:space="preserve">EP17 · PDF p.21</t>
  </si>
  <si>
    <t xml:space="preserve">สีน้ำมันไฮดรอลิกบอกอะไร</t>
  </si>
  <si>
    <t xml:space="preserve">ใส = ใหม่ · น้ำตาล = เริ่มเสื่อม · ดำ = ต้องตรวจ/แจ้ง</t>
  </si>
  <si>
    <t xml:space="preserve">ขณะปั๊มหยุด อุณหภูมิน้ำมันต้องต่ำกว่าเท่าไร ตรวจด้วยมืออย่างไร</t>
  </si>
  <si>
    <t xml:space="preserve">&lt; 55 °C · วางฝ่ามือได้ 3–4 วินาทีขึ้นไป = ปกติ</t>
  </si>
  <si>
    <t xml:space="preserve">ขณะเดินเครื่อง เข็มเกจแกว่งได้ไม่เกินเท่าไร</t>
  </si>
  <si>
    <t xml:space="preserve">±3 kgf/cm²</t>
  </si>
  <si>
    <t xml:space="preserve">EP15 · PDF p.19</t>
  </si>
  <si>
    <t xml:space="preserve">Lock nut ของ Relief valve หลวม จะเกิดอะไร</t>
  </si>
  <si>
    <t xml:space="preserve">Handle หมุน → ค่าตั้งแรงดันเปลี่ยน</t>
  </si>
  <si>
    <t xml:space="preserve">EP13, EP19 · PDF p.17</t>
  </si>
  <si>
    <t xml:space="preserve">Filter indicator สีเหลือง/แดง หรือ Vacuum meter เกิน 10 cmHg ต้องทำอะไร</t>
  </si>
  <si>
    <t xml:space="preserve">ทำความสะอาด Filter</t>
  </si>
  <si>
    <t xml:space="preserve">EP18 · PDF p.26</t>
  </si>
  <si>
    <t xml:space="preserve">Solenoid valve มีเสียงคราง “บูน” ขณะ ON หมายถึงอะไร</t>
  </si>
  <si>
    <t xml:space="preserve">ผิดปกติ (Spool เลื่อนไม่สุด · แรงดันไฟตก · แรงดูดไม่พอ) → แจ้งช่าง · ปล่อยไว้ Coil ไหม้</t>
  </si>
  <si>
    <t xml:space="preserve">EP12, EP19 · PDF p.16, p.18, p.30</t>
  </si>
  <si>
    <t xml:space="preserve">ก้านสูบที่ปกติต้องเป็นอย่างไร</t>
  </si>
  <si>
    <t xml:space="preserve">เงาเหมือนกระจก ไม่มีรอยขีดข่วน</t>
  </si>
  <si>
    <t xml:space="preserve">EP20 · PDF p.31</t>
  </si>
  <si>
    <t xml:space="preserve">น้ำมันรั่ว 1 หยดทุก 10 วินาที เสียกี่ลิตรต่อปี</t>
  </si>
  <si>
    <t xml:space="preserve">151 ลิตร/ปี (0.42 ลิตร/วัน)</t>
  </si>
  <si>
    <t xml:space="preserve">EP09 · PDF p.13</t>
  </si>
  <si>
    <t xml:space="preserve">To Confirm — ประเด็นที่ต้องยืนยันก่อนใช้จริง</t>
  </si>
  <si>
    <t xml:space="preserve">ให้หัวหน้างาน / ฝ่ายซ่อมบำรุง / Safety ยืนยัน แล้วแก้ในชีทที่เกี่ยวข้อง</t>
  </si>
  <si>
    <t xml:space="preserve">ประเด็น</t>
  </si>
  <si>
    <t xml:space="preserve">รายละเอียด</t>
  </si>
  <si>
    <t xml:space="preserve">ที่มา / สถานะ</t>
  </si>
  <si>
    <t xml:space="preserve">ผล / ค่าที่ใช้</t>
  </si>
  <si>
    <t xml:space="preserve">ตำแหน่ง · Tag No. · จำนวนของแต่ละชิ้นส่วนบนเครื่องนี้</t>
  </si>
  <si>
    <t xml:space="preserve">ชีท System_Map</t>
  </si>
  <si>
    <t xml:space="preserve">ค่าตั้งแรงดัน · เวลาต่อรอบ · ชนิด/ความหนืดน้ำมัน · รอบปั๊ม · Torque</t>
  </si>
  <si>
    <t xml:space="preserve">ชีท Operating_Conditions</t>
  </si>
  <si>
    <t xml:space="preserve">[DATA REQUIRED] · PDF p.14, p.19, p.26, p.32</t>
  </si>
  <si>
    <t xml:space="preserve">ข้อที่ติด [INFER] (กลไก Bourdon tube · ผลกระทบของ Solenoid/เกจ · ส่วนหมุน · น้ำมันพุ่งทะลุผิวหนัง)</t>
  </si>
  <si>
    <t xml:space="preserve">ต้นฉบับไม่ระบุ ใช้หลักวิศวกรรมทั่วไป</t>
  </si>
  <si>
    <t xml:space="preserve">เกณฑ์ทั่วไป · ให้ฝ่ายซ่อมยืนยัน</t>
  </si>
  <si>
    <t xml:space="preserve">ผู้หมุน Relief Handle และปรับ Cushion valve = ผู้ได้รับมอบหมาย</t>
  </si>
  <si>
    <t xml:space="preserve">สอดคล้องกับ EP05, EP07, EP19</t>
  </si>
  <si>
    <t xml:space="preserve">ข้อเสนอ</t>
  </si>
  <si>
    <t xml:space="preserve">ตัดไฟ + ปล่อยแรงดันจนเกจชี้ 0 + LOTO ก่อนถอด Solenoid valve หรือคลายข้อต่อ</t>
  </si>
  <si>
    <t xml:space="preserve">ต้นฉบับไม่ระบุขั้นตอน</t>
  </si>
  <si>
    <t xml:space="preserve">ข้อเสนอ · ให้ Safety ยืนยัน</t>
  </si>
  <si>
    <t xml:space="preserve">ความถี่รายสัปดาห์ของการตรวจกระบอกสูบ · สาย · Solenoid valve · Air breather</t>
  </si>
  <si>
    <t xml:space="preserve">ต้นฉบับไม่ระบุความถี่</t>
  </si>
  <si>
    <t xml:space="preserve">ระดับผ่าน Skill_Check ≥ 8/10</t>
  </si>
  <si>
    <t xml:space="preserve">ต้นฉบับไม่มีแบบทดสอบ</t>
  </si>
  <si>
    <t xml:space="preserve">ขอบเขตช่วงอุณหภูมิน้ำมัน</t>
  </si>
  <si>
    <t xml:space="preserve">อ่านจากรูปหน้า 26 ซึ่งเส้นแบ่งบางช่วงไม่ชัด</t>
  </si>
  <si>
    <t xml:space="preserve">PDF p.26 · ตรวจกับต้นฉบับญี่ปุ่น</t>
  </si>
  <si>
    <t xml:space="preserve">เกณฑ์เลือกสเกลเกจ: แรงดันแกว่งมาก → ไม่เกิน 1/2 ของสเกลเต็ม</t>
  </si>
  <si>
    <t xml:space="preserve">ต้นฉบับเขียน “more than 1/2”</t>
  </si>
  <si>
    <t xml:space="preserve">แก้คำแปล PDF p.25 · แนวปฏิบัติ JIS</t>
  </si>
  <si>
    <r>
      <rPr>
        <sz val="9"/>
        <color rgb="FF1A1D21"/>
        <rFont val="Tahoma"/>
        <family val="0"/>
        <charset val="1"/>
      </rPr>
      <t xml:space="preserve">คำแปลที่แก้: Hot water level meter = Oil level meter · Steam wool = Steel wool · sheet = Seat · dropwort = ส่วนเลื่อน (</t>
    </r>
    <r>
      <rPr>
        <sz val="9"/>
        <color rgb="FF1A1D21"/>
        <rFont val="WenQuanYi Zen Hei"/>
        <family val="2"/>
      </rPr>
      <t xml:space="preserve">摺動部</t>
    </r>
    <r>
      <rPr>
        <sz val="9"/>
        <color rgb="FF1A1D21"/>
        <rFont val="Tahoma"/>
        <family val="0"/>
        <charset val="1"/>
      </rPr>
      <t xml:space="preserve">) · Oil sound up = อุณหภูมิน้ำมันสูงขึ้น (</t>
    </r>
    <r>
      <rPr>
        <sz val="9"/>
        <color rgb="FF1A1D21"/>
        <rFont val="WenQuanYi Zen Hei"/>
        <family val="2"/>
      </rPr>
      <t xml:space="preserve">油温上昇</t>
    </r>
    <r>
      <rPr>
        <sz val="9"/>
        <color rgb="FF1A1D21"/>
        <rFont val="Tahoma"/>
        <family val="0"/>
        <charset val="1"/>
      </rPr>
      <t xml:space="preserve">)</t>
    </r>
  </si>
  <si>
    <t xml:space="preserve">ใช้ในชีท Component_Analysis / Operating_Conditions</t>
  </si>
  <si>
    <t xml:space="preserve">แก้คำแปล PDF p.15, p.17, p.21–22</t>
  </si>
  <si>
    <t xml:space="preserve">สายแรงดันสูงยืดหด “24%”</t>
  </si>
  <si>
    <t xml:space="preserve">น่าจะเป็น 2–4% · ไม่ใช้ตัวเลขในชีท</t>
  </si>
  <si>
    <t xml:space="preserve">PDF p.33 · ตรวจกับต้นฉบับ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</si>
</sst>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b val="true"/>
      <sz val="15"/>
      <color rgb="FFFFFFFF"/>
      <name val="WenQuanYi Zen Hei"/>
      <family val="2"/>
    </font>
    <font>
      <i val="true"/>
      <sz val="9"/>
      <color rgb="FF5A6775"/>
      <name val="Tahoma"/>
      <family val="0"/>
      <charset val="1"/>
    </font>
    <font>
      <b val="true"/>
      <sz val="9"/>
      <color rgb="FF1A1D21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1A1D21"/>
      <name val="Tahoma"/>
      <family val="0"/>
      <charset val="1"/>
    </font>
    <font>
      <sz val="10"/>
      <color rgb="FF1A1D21"/>
      <name val="Tahoma"/>
      <family val="0"/>
      <charset val="1"/>
    </font>
    <font>
      <b val="true"/>
      <sz val="10"/>
      <color rgb="FF1F5FBF"/>
      <name val="Tahoma"/>
      <family val="0"/>
      <charset val="1"/>
    </font>
    <font>
      <b val="true"/>
      <sz val="9"/>
      <color rgb="FFFFFFFF"/>
      <name val="Tahoma"/>
      <family val="0"/>
      <charset val="1"/>
    </font>
    <font>
      <sz val="9"/>
      <color rgb="FF1A1D21"/>
      <name val="Tahoma"/>
      <family val="0"/>
      <charset val="1"/>
    </font>
    <font>
      <b val="true"/>
      <sz val="9"/>
      <color rgb="FFC32A3E"/>
      <name val="Tahoma"/>
      <family val="0"/>
      <charset val="1"/>
    </font>
    <font>
      <b val="true"/>
      <sz val="9"/>
      <color rgb="FFB07A00"/>
      <name val="Tahoma"/>
      <family val="0"/>
      <charset val="1"/>
    </font>
    <font>
      <sz val="9"/>
      <color rgb="FFB07A00"/>
      <name val="Tahoma"/>
      <family val="0"/>
      <charset val="1"/>
    </font>
    <font>
      <b val="true"/>
      <sz val="11"/>
      <color rgb="FF1F5FBF"/>
      <name val="Tahoma"/>
      <family val="0"/>
      <charset val="1"/>
    </font>
    <font>
      <sz val="9"/>
      <color rgb="FF1A1D2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2A36"/>
        <bgColor rgb="FF1A1D21"/>
      </patternFill>
    </fill>
    <fill>
      <patternFill patternType="solid">
        <fgColor rgb="FFFFFF00"/>
        <bgColor rgb="FFFFFF00"/>
      </patternFill>
    </fill>
    <fill>
      <patternFill patternType="solid">
        <fgColor rgb="FFE3ECF9"/>
        <bgColor rgb="FFF2F2F2"/>
      </patternFill>
    </fill>
    <fill>
      <patternFill patternType="solid">
        <fgColor rgb="FFF2F2F2"/>
        <bgColor rgb="FFE3EC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00"/>
      <rgbColor rgb="FF800080"/>
      <rgbColor rgb="FF008080"/>
      <rgbColor rgb="FFC0C0C0"/>
      <rgbColor rgb="FF808080"/>
      <rgbColor rgb="FF9999FF"/>
      <rgbColor rgb="FFC32A3E"/>
      <rgbColor rgb="FFF2F2F2"/>
      <rgbColor rgb="FFE3ECF9"/>
      <rgbColor rgb="FF660066"/>
      <rgbColor rgb="FFFF8080"/>
      <rgbColor rgb="FF1F5FBF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775"/>
      <rgbColor rgb="FF9AA1AA"/>
      <rgbColor rgb="FF003366"/>
      <rgbColor rgb="FF339966"/>
      <rgbColor rgb="FF003300"/>
      <rgbColor rgb="FF1A1D21"/>
      <rgbColor rgb="FF993300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4"/>
      <c r="C3" s="4"/>
      <c r="D3" s="3" t="s">
        <v>3</v>
      </c>
      <c r="E3" s="4"/>
      <c r="F3" s="4"/>
    </row>
    <row r="4" customFormat="false" ht="19.5" hidden="false" customHeight="true" outlineLevel="0" collapsed="false">
      <c r="A4" s="3" t="s">
        <v>4</v>
      </c>
      <c r="B4" s="4"/>
      <c r="C4" s="4"/>
      <c r="D4" s="3" t="s">
        <v>5</v>
      </c>
      <c r="E4" s="4"/>
      <c r="F4" s="4"/>
    </row>
    <row r="6" customFormat="false" ht="36" hidden="false" customHeight="true" outlineLevel="0" collapsed="false">
      <c r="A6" s="5" t="s">
        <v>6</v>
      </c>
      <c r="B6" s="5" t="s">
        <v>7</v>
      </c>
      <c r="C6" s="5"/>
      <c r="D6" s="5"/>
      <c r="E6" s="5"/>
      <c r="F6" s="5"/>
    </row>
    <row r="7" customFormat="false" ht="36" hidden="false" customHeight="true" outlineLevel="0" collapsed="false">
      <c r="A7" s="6" t="s">
        <v>8</v>
      </c>
      <c r="B7" s="7" t="s">
        <v>9</v>
      </c>
      <c r="C7" s="7"/>
      <c r="D7" s="7"/>
      <c r="E7" s="7"/>
      <c r="F7" s="7"/>
    </row>
    <row r="8" customFormat="false" ht="36" hidden="false" customHeight="true" outlineLevel="0" collapsed="false">
      <c r="A8" s="6" t="s">
        <v>10</v>
      </c>
      <c r="B8" s="7" t="s">
        <v>11</v>
      </c>
      <c r="C8" s="7"/>
      <c r="D8" s="7"/>
      <c r="E8" s="7"/>
      <c r="F8" s="7"/>
    </row>
    <row r="9" customFormat="false" ht="36" hidden="false" customHeight="true" outlineLevel="0" collapsed="false">
      <c r="A9" s="6" t="s">
        <v>12</v>
      </c>
      <c r="B9" s="7" t="s">
        <v>13</v>
      </c>
      <c r="C9" s="7"/>
      <c r="D9" s="7"/>
      <c r="E9" s="7"/>
      <c r="F9" s="7"/>
    </row>
    <row r="10" customFormat="false" ht="36" hidden="false" customHeight="true" outlineLevel="0" collapsed="false">
      <c r="A10" s="6" t="s">
        <v>14</v>
      </c>
      <c r="B10" s="7" t="s">
        <v>15</v>
      </c>
      <c r="C10" s="7"/>
      <c r="D10" s="7"/>
      <c r="E10" s="7"/>
      <c r="F10" s="7"/>
    </row>
    <row r="11" customFormat="false" ht="36" hidden="false" customHeight="true" outlineLevel="0" collapsed="false">
      <c r="A11" s="6" t="s">
        <v>16</v>
      </c>
      <c r="B11" s="7" t="s">
        <v>17</v>
      </c>
      <c r="C11" s="7"/>
      <c r="D11" s="7"/>
      <c r="E11" s="7"/>
      <c r="F11" s="7"/>
    </row>
    <row r="12" customFormat="false" ht="36" hidden="false" customHeight="true" outlineLevel="0" collapsed="false">
      <c r="A12" s="6" t="s">
        <v>18</v>
      </c>
      <c r="B12" s="7" t="s">
        <v>19</v>
      </c>
      <c r="C12" s="7"/>
      <c r="D12" s="7"/>
      <c r="E12" s="7"/>
      <c r="F12" s="7"/>
    </row>
    <row r="13" customFormat="false" ht="9.75" hidden="false" customHeight="true" outlineLevel="0" collapsed="false">
      <c r="A13" s="8"/>
      <c r="B13" s="9"/>
      <c r="C13" s="9"/>
      <c r="D13" s="9"/>
      <c r="E13" s="9"/>
      <c r="F13" s="9"/>
    </row>
    <row r="14" customFormat="false" ht="36" hidden="false" customHeight="true" outlineLevel="0" collapsed="false">
      <c r="A14" s="6" t="s">
        <v>20</v>
      </c>
      <c r="B14" s="7" t="s">
        <v>21</v>
      </c>
      <c r="C14" s="7"/>
      <c r="D14" s="7"/>
      <c r="E14" s="7"/>
      <c r="F14" s="7"/>
    </row>
    <row r="15" customFormat="false" ht="36" hidden="false" customHeight="true" outlineLevel="0" collapsed="false">
      <c r="A15" s="6" t="s">
        <v>22</v>
      </c>
      <c r="B15" s="7" t="s">
        <v>23</v>
      </c>
      <c r="C15" s="7"/>
      <c r="D15" s="7"/>
      <c r="E15" s="7"/>
      <c r="F15" s="7"/>
    </row>
    <row r="16" customFormat="false" ht="36" hidden="false" customHeight="true" outlineLevel="0" collapsed="false">
      <c r="A16" s="6" t="s">
        <v>24</v>
      </c>
      <c r="B16" s="7" t="s">
        <v>25</v>
      </c>
      <c r="C16" s="7"/>
      <c r="D16" s="7"/>
      <c r="E16" s="7"/>
      <c r="F16" s="7"/>
    </row>
    <row r="17" customFormat="false" ht="36" hidden="false" customHeight="true" outlineLevel="0" collapsed="false">
      <c r="A17" s="6" t="s">
        <v>26</v>
      </c>
      <c r="B17" s="7" t="s">
        <v>27</v>
      </c>
      <c r="C17" s="7"/>
      <c r="D17" s="7"/>
      <c r="E17" s="7"/>
      <c r="F17" s="7"/>
    </row>
  </sheetData>
  <mergeCells count="18">
    <mergeCell ref="A1:F1"/>
    <mergeCell ref="A2:F2"/>
    <mergeCell ref="B3:C3"/>
    <mergeCell ref="E3:F3"/>
    <mergeCell ref="B4:C4"/>
    <mergeCell ref="E4:F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0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10" t="s">
        <v>30</v>
      </c>
      <c r="B3" s="10"/>
      <c r="C3" s="10"/>
      <c r="D3" s="10"/>
      <c r="E3" s="10"/>
      <c r="F3" s="10"/>
      <c r="G3" s="10"/>
      <c r="H3" s="10"/>
    </row>
    <row r="5" customFormat="false" ht="33.75" hidden="false" customHeight="true" outlineLevel="0" collapsed="false">
      <c r="A5" s="11" t="s">
        <v>31</v>
      </c>
      <c r="B5" s="11" t="s">
        <v>32</v>
      </c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  <c r="H5" s="11" t="s">
        <v>38</v>
      </c>
    </row>
    <row r="6" customFormat="false" ht="33.75" hidden="false" customHeight="true" outlineLevel="0" collapsed="false">
      <c r="A6" s="12" t="s">
        <v>39</v>
      </c>
      <c r="B6" s="13" t="s">
        <v>40</v>
      </c>
      <c r="C6" s="14" t="s">
        <v>41</v>
      </c>
      <c r="D6" s="13" t="s">
        <v>42</v>
      </c>
      <c r="E6" s="15"/>
      <c r="F6" s="15"/>
      <c r="G6" s="13" t="s">
        <v>43</v>
      </c>
      <c r="H6" s="13" t="s">
        <v>44</v>
      </c>
    </row>
    <row r="7" customFormat="false" ht="33.75" hidden="false" customHeight="true" outlineLevel="0" collapsed="false">
      <c r="A7" s="12" t="s">
        <v>39</v>
      </c>
      <c r="B7" s="13" t="s">
        <v>40</v>
      </c>
      <c r="C7" s="14" t="s">
        <v>45</v>
      </c>
      <c r="D7" s="13" t="s">
        <v>46</v>
      </c>
      <c r="E7" s="15"/>
      <c r="F7" s="15"/>
      <c r="G7" s="13" t="s">
        <v>47</v>
      </c>
      <c r="H7" s="13" t="s">
        <v>48</v>
      </c>
    </row>
    <row r="8" customFormat="false" ht="33.75" hidden="false" customHeight="true" outlineLevel="0" collapsed="false">
      <c r="A8" s="12" t="s">
        <v>49</v>
      </c>
      <c r="B8" s="13" t="s">
        <v>50</v>
      </c>
      <c r="C8" s="14" t="s">
        <v>51</v>
      </c>
      <c r="D8" s="13" t="s">
        <v>52</v>
      </c>
      <c r="E8" s="15"/>
      <c r="F8" s="15"/>
      <c r="G8" s="13" t="s">
        <v>53</v>
      </c>
      <c r="H8" s="13" t="s">
        <v>54</v>
      </c>
    </row>
    <row r="9" customFormat="false" ht="33.75" hidden="false" customHeight="true" outlineLevel="0" collapsed="false">
      <c r="A9" s="12" t="s">
        <v>55</v>
      </c>
      <c r="B9" s="13" t="s">
        <v>56</v>
      </c>
      <c r="C9" s="14" t="s">
        <v>57</v>
      </c>
      <c r="D9" s="13" t="s">
        <v>58</v>
      </c>
      <c r="E9" s="15"/>
      <c r="F9" s="15"/>
      <c r="G9" s="13" t="s">
        <v>59</v>
      </c>
      <c r="H9" s="13" t="s">
        <v>60</v>
      </c>
    </row>
    <row r="10" customFormat="false" ht="33.75" hidden="false" customHeight="true" outlineLevel="0" collapsed="false">
      <c r="A10" s="12" t="s">
        <v>49</v>
      </c>
      <c r="B10" s="13" t="s">
        <v>50</v>
      </c>
      <c r="C10" s="14" t="s">
        <v>61</v>
      </c>
      <c r="D10" s="13" t="s">
        <v>62</v>
      </c>
      <c r="E10" s="15"/>
      <c r="F10" s="15"/>
      <c r="G10" s="13" t="s">
        <v>63</v>
      </c>
      <c r="H10" s="13" t="s">
        <v>64</v>
      </c>
    </row>
    <row r="11" customFormat="false" ht="33.75" hidden="false" customHeight="true" outlineLevel="0" collapsed="false">
      <c r="A11" s="12" t="s">
        <v>55</v>
      </c>
      <c r="B11" s="13" t="s">
        <v>65</v>
      </c>
      <c r="C11" s="14" t="s">
        <v>66</v>
      </c>
      <c r="D11" s="13" t="s">
        <v>67</v>
      </c>
      <c r="E11" s="15"/>
      <c r="F11" s="15"/>
      <c r="G11" s="13" t="s">
        <v>68</v>
      </c>
      <c r="H11" s="13" t="s">
        <v>69</v>
      </c>
    </row>
    <row r="12" customFormat="false" ht="33.75" hidden="false" customHeight="true" outlineLevel="0" collapsed="false">
      <c r="A12" s="12" t="s">
        <v>55</v>
      </c>
      <c r="B12" s="13" t="s">
        <v>70</v>
      </c>
      <c r="C12" s="14" t="s">
        <v>71</v>
      </c>
      <c r="D12" s="13" t="s">
        <v>72</v>
      </c>
      <c r="E12" s="15"/>
      <c r="F12" s="15"/>
      <c r="G12" s="13" t="s">
        <v>73</v>
      </c>
      <c r="H12" s="13" t="s">
        <v>74</v>
      </c>
    </row>
    <row r="13" customFormat="false" ht="33.75" hidden="false" customHeight="true" outlineLevel="0" collapsed="false">
      <c r="A13" s="12" t="s">
        <v>75</v>
      </c>
      <c r="B13" s="13" t="s">
        <v>76</v>
      </c>
      <c r="C13" s="14" t="s">
        <v>77</v>
      </c>
      <c r="D13" s="13" t="s">
        <v>78</v>
      </c>
      <c r="E13" s="15"/>
      <c r="F13" s="15"/>
      <c r="G13" s="13" t="s">
        <v>79</v>
      </c>
      <c r="H13" s="13" t="s">
        <v>80</v>
      </c>
    </row>
    <row r="14" customFormat="false" ht="33.75" hidden="false" customHeight="true" outlineLevel="0" collapsed="false">
      <c r="A14" s="12" t="s">
        <v>49</v>
      </c>
      <c r="B14" s="13" t="s">
        <v>50</v>
      </c>
      <c r="C14" s="14" t="s">
        <v>81</v>
      </c>
      <c r="D14" s="13" t="s">
        <v>82</v>
      </c>
      <c r="E14" s="15"/>
      <c r="F14" s="15"/>
      <c r="G14" s="13" t="s">
        <v>83</v>
      </c>
      <c r="H14" s="13" t="s">
        <v>84</v>
      </c>
    </row>
    <row r="15" customFormat="false" ht="33.75" hidden="false" customHeight="true" outlineLevel="0" collapsed="false">
      <c r="A15" s="12" t="s">
        <v>49</v>
      </c>
      <c r="B15" s="13" t="s">
        <v>50</v>
      </c>
      <c r="C15" s="14" t="s">
        <v>85</v>
      </c>
      <c r="D15" s="13" t="s">
        <v>86</v>
      </c>
      <c r="E15" s="15"/>
      <c r="F15" s="15"/>
      <c r="G15" s="13" t="s">
        <v>87</v>
      </c>
      <c r="H15" s="13" t="s">
        <v>88</v>
      </c>
    </row>
    <row r="16" customFormat="false" ht="33.75" hidden="false" customHeight="true" outlineLevel="0" collapsed="false">
      <c r="A16" s="12" t="s">
        <v>49</v>
      </c>
      <c r="B16" s="13" t="s">
        <v>50</v>
      </c>
      <c r="C16" s="14" t="s">
        <v>89</v>
      </c>
      <c r="D16" s="13" t="s">
        <v>90</v>
      </c>
      <c r="E16" s="15"/>
      <c r="F16" s="15"/>
      <c r="G16" s="13" t="s">
        <v>91</v>
      </c>
      <c r="H16" s="13" t="s">
        <v>92</v>
      </c>
    </row>
    <row r="17" customFormat="false" ht="33.75" hidden="false" customHeight="true" outlineLevel="0" collapsed="false">
      <c r="A17" s="12" t="s">
        <v>49</v>
      </c>
      <c r="B17" s="13" t="s">
        <v>93</v>
      </c>
      <c r="C17" s="14" t="s">
        <v>94</v>
      </c>
      <c r="D17" s="13" t="s">
        <v>95</v>
      </c>
      <c r="E17" s="15"/>
      <c r="F17" s="15"/>
      <c r="G17" s="13" t="s">
        <v>96</v>
      </c>
      <c r="H17" s="13" t="s">
        <v>97</v>
      </c>
    </row>
  </sheetData>
  <mergeCells count="3">
    <mergeCell ref="A1:H1"/>
    <mergeCell ref="A2:H2"/>
    <mergeCell ref="A3:H3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26"/>
    <col collapsed="false" customWidth="true" hidden="false" outlineLevel="0" max="8" min="8" style="0" width="32"/>
    <col collapsed="false" customWidth="true" hidden="false" outlineLevel="0" max="9" min="9" style="0" width="24"/>
    <col collapsed="false" customWidth="true" hidden="false" outlineLevel="0" max="10" min="10" style="0" width="22"/>
    <col collapsed="false" customWidth="true" hidden="false" outlineLevel="0" max="11" min="11" style="0" width="17"/>
    <col collapsed="false" customWidth="true" hidden="false" outlineLevel="0" max="12" min="12" style="0" width="15"/>
  </cols>
  <sheetData>
    <row r="1" customFormat="false" ht="30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1.9" hidden="false" customHeight="false" outlineLevel="0" collapsed="false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3.75" hidden="false" customHeight="true" outlineLevel="0" collapsed="false">
      <c r="A4" s="11" t="s">
        <v>33</v>
      </c>
      <c r="B4" s="11" t="s">
        <v>100</v>
      </c>
      <c r="C4" s="11" t="s">
        <v>101</v>
      </c>
      <c r="D4" s="11" t="s">
        <v>102</v>
      </c>
      <c r="E4" s="11" t="s">
        <v>103</v>
      </c>
      <c r="F4" s="11" t="s">
        <v>104</v>
      </c>
      <c r="G4" s="11" t="s">
        <v>105</v>
      </c>
      <c r="H4" s="11" t="s">
        <v>106</v>
      </c>
      <c r="I4" s="11" t="s">
        <v>107</v>
      </c>
      <c r="J4" s="11" t="s">
        <v>108</v>
      </c>
      <c r="K4" s="11" t="s">
        <v>37</v>
      </c>
      <c r="L4" s="11" t="s">
        <v>38</v>
      </c>
    </row>
    <row r="5" customFormat="false" ht="90" hidden="false" customHeight="true" outlineLevel="0" collapsed="false">
      <c r="A5" s="16" t="s">
        <v>109</v>
      </c>
      <c r="B5" s="17" t="s">
        <v>110</v>
      </c>
      <c r="C5" s="17" t="s">
        <v>111</v>
      </c>
      <c r="D5" s="17" t="s">
        <v>112</v>
      </c>
      <c r="E5" s="17" t="s">
        <v>113</v>
      </c>
      <c r="F5" s="17" t="s">
        <v>114</v>
      </c>
      <c r="G5" s="17" t="s">
        <v>115</v>
      </c>
      <c r="H5" s="17" t="s">
        <v>116</v>
      </c>
      <c r="I5" s="17" t="s">
        <v>117</v>
      </c>
      <c r="J5" s="18" t="s">
        <v>118</v>
      </c>
      <c r="K5" s="17" t="s">
        <v>119</v>
      </c>
      <c r="L5" s="17" t="s">
        <v>120</v>
      </c>
    </row>
    <row r="6" customFormat="false" ht="90" hidden="false" customHeight="true" outlineLevel="0" collapsed="false">
      <c r="A6" s="16" t="s">
        <v>121</v>
      </c>
      <c r="B6" s="17" t="s">
        <v>122</v>
      </c>
      <c r="C6" s="17" t="s">
        <v>123</v>
      </c>
      <c r="D6" s="17" t="s">
        <v>124</v>
      </c>
      <c r="E6" s="17" t="s">
        <v>125</v>
      </c>
      <c r="F6" s="17" t="s">
        <v>126</v>
      </c>
      <c r="G6" s="17" t="s">
        <v>127</v>
      </c>
      <c r="H6" s="17" t="s">
        <v>128</v>
      </c>
      <c r="I6" s="17" t="s">
        <v>129</v>
      </c>
      <c r="J6" s="19" t="s">
        <v>130</v>
      </c>
      <c r="K6" s="17" t="s">
        <v>131</v>
      </c>
      <c r="L6" s="17" t="s">
        <v>132</v>
      </c>
    </row>
    <row r="7" customFormat="false" ht="90" hidden="false" customHeight="true" outlineLevel="0" collapsed="false">
      <c r="A7" s="16" t="s">
        <v>133</v>
      </c>
      <c r="B7" s="17" t="s">
        <v>134</v>
      </c>
      <c r="C7" s="17" t="s">
        <v>135</v>
      </c>
      <c r="D7" s="17" t="s">
        <v>136</v>
      </c>
      <c r="E7" s="17" t="s">
        <v>137</v>
      </c>
      <c r="F7" s="17" t="s">
        <v>138</v>
      </c>
      <c r="G7" s="17" t="s">
        <v>139</v>
      </c>
      <c r="H7" s="20" t="s">
        <v>140</v>
      </c>
      <c r="I7" s="17" t="s">
        <v>141</v>
      </c>
      <c r="J7" s="19" t="s">
        <v>142</v>
      </c>
      <c r="K7" s="17" t="s">
        <v>143</v>
      </c>
      <c r="L7" s="17" t="s">
        <v>144</v>
      </c>
    </row>
    <row r="8" customFormat="false" ht="90" hidden="false" customHeight="true" outlineLevel="0" collapsed="false">
      <c r="A8" s="16" t="s">
        <v>145</v>
      </c>
      <c r="B8" s="17" t="s">
        <v>146</v>
      </c>
      <c r="C8" s="17" t="s">
        <v>147</v>
      </c>
      <c r="D8" s="17" t="s">
        <v>148</v>
      </c>
      <c r="E8" s="17" t="s">
        <v>149</v>
      </c>
      <c r="F8" s="17" t="s">
        <v>150</v>
      </c>
      <c r="G8" s="20" t="s">
        <v>151</v>
      </c>
      <c r="H8" s="20" t="s">
        <v>152</v>
      </c>
      <c r="I8" s="17" t="s">
        <v>153</v>
      </c>
      <c r="J8" s="19" t="s">
        <v>154</v>
      </c>
      <c r="K8" s="17" t="s">
        <v>155</v>
      </c>
      <c r="L8" s="17" t="s">
        <v>156</v>
      </c>
    </row>
    <row r="9" customFormat="false" ht="90" hidden="false" customHeight="true" outlineLevel="0" collapsed="false">
      <c r="A9" s="16" t="s">
        <v>157</v>
      </c>
      <c r="B9" s="17" t="s">
        <v>158</v>
      </c>
      <c r="C9" s="17" t="s">
        <v>159</v>
      </c>
      <c r="D9" s="17" t="s">
        <v>49</v>
      </c>
      <c r="E9" s="17" t="s">
        <v>160</v>
      </c>
      <c r="F9" s="17" t="s">
        <v>161</v>
      </c>
      <c r="G9" s="17" t="s">
        <v>162</v>
      </c>
      <c r="H9" s="17" t="s">
        <v>163</v>
      </c>
      <c r="I9" s="20" t="s">
        <v>164</v>
      </c>
      <c r="J9" s="17" t="s">
        <v>49</v>
      </c>
      <c r="K9" s="17" t="s">
        <v>165</v>
      </c>
      <c r="L9" s="17" t="s">
        <v>166</v>
      </c>
    </row>
    <row r="10" customFormat="false" ht="90" hidden="false" customHeight="true" outlineLevel="0" collapsed="false">
      <c r="A10" s="16" t="s">
        <v>167</v>
      </c>
      <c r="B10" s="17" t="s">
        <v>168</v>
      </c>
      <c r="C10" s="17" t="s">
        <v>169</v>
      </c>
      <c r="D10" s="17" t="s">
        <v>170</v>
      </c>
      <c r="E10" s="17" t="s">
        <v>171</v>
      </c>
      <c r="F10" s="17" t="s">
        <v>172</v>
      </c>
      <c r="G10" s="17" t="s">
        <v>173</v>
      </c>
      <c r="H10" s="20" t="s">
        <v>174</v>
      </c>
      <c r="I10" s="17" t="s">
        <v>175</v>
      </c>
      <c r="J10" s="18" t="s">
        <v>176</v>
      </c>
      <c r="K10" s="17" t="s">
        <v>177</v>
      </c>
      <c r="L10" s="17" t="s">
        <v>178</v>
      </c>
    </row>
    <row r="11" customFormat="false" ht="90" hidden="false" customHeight="true" outlineLevel="0" collapsed="false">
      <c r="A11" s="16" t="s">
        <v>179</v>
      </c>
      <c r="B11" s="17" t="s">
        <v>180</v>
      </c>
      <c r="C11" s="17" t="s">
        <v>181</v>
      </c>
      <c r="D11" s="20" t="s">
        <v>182</v>
      </c>
      <c r="E11" s="17" t="s">
        <v>183</v>
      </c>
      <c r="F11" s="17" t="s">
        <v>184</v>
      </c>
      <c r="G11" s="20" t="s">
        <v>185</v>
      </c>
      <c r="H11" s="20" t="s">
        <v>186</v>
      </c>
      <c r="I11" s="17" t="s">
        <v>187</v>
      </c>
      <c r="J11" s="17" t="s">
        <v>49</v>
      </c>
      <c r="K11" s="17" t="s">
        <v>188</v>
      </c>
      <c r="L11" s="17" t="s">
        <v>189</v>
      </c>
    </row>
    <row r="12" customFormat="false" ht="90" hidden="false" customHeight="true" outlineLevel="0" collapsed="false">
      <c r="A12" s="16" t="s">
        <v>190</v>
      </c>
      <c r="B12" s="17" t="s">
        <v>191</v>
      </c>
      <c r="C12" s="17" t="s">
        <v>192</v>
      </c>
      <c r="D12" s="17" t="s">
        <v>193</v>
      </c>
      <c r="E12" s="17" t="s">
        <v>194</v>
      </c>
      <c r="F12" s="17" t="s">
        <v>195</v>
      </c>
      <c r="G12" s="17" t="s">
        <v>196</v>
      </c>
      <c r="H12" s="17" t="s">
        <v>197</v>
      </c>
      <c r="I12" s="17" t="s">
        <v>198</v>
      </c>
      <c r="J12" s="17" t="s">
        <v>49</v>
      </c>
      <c r="K12" s="17" t="s">
        <v>199</v>
      </c>
      <c r="L12" s="17" t="s">
        <v>200</v>
      </c>
    </row>
    <row r="13" customFormat="false" ht="90" hidden="false" customHeight="true" outlineLevel="0" collapsed="false">
      <c r="A13" s="16" t="s">
        <v>201</v>
      </c>
      <c r="B13" s="17" t="s">
        <v>202</v>
      </c>
      <c r="C13" s="17" t="s">
        <v>203</v>
      </c>
      <c r="D13" s="17" t="s">
        <v>49</v>
      </c>
      <c r="E13" s="17" t="s">
        <v>204</v>
      </c>
      <c r="F13" s="17" t="s">
        <v>205</v>
      </c>
      <c r="G13" s="17" t="s">
        <v>206</v>
      </c>
      <c r="H13" s="20" t="s">
        <v>207</v>
      </c>
      <c r="I13" s="17" t="s">
        <v>208</v>
      </c>
      <c r="J13" s="17" t="s">
        <v>49</v>
      </c>
      <c r="K13" s="17" t="s">
        <v>83</v>
      </c>
      <c r="L13" s="17" t="s">
        <v>209</v>
      </c>
    </row>
    <row r="14" customFormat="false" ht="90" hidden="false" customHeight="true" outlineLevel="0" collapsed="false">
      <c r="A14" s="16" t="s">
        <v>210</v>
      </c>
      <c r="B14" s="17" t="s">
        <v>90</v>
      </c>
      <c r="C14" s="17" t="s">
        <v>211</v>
      </c>
      <c r="D14" s="17" t="s">
        <v>212</v>
      </c>
      <c r="E14" s="17" t="s">
        <v>213</v>
      </c>
      <c r="F14" s="17" t="s">
        <v>214</v>
      </c>
      <c r="G14" s="17" t="s">
        <v>215</v>
      </c>
      <c r="H14" s="20" t="s">
        <v>216</v>
      </c>
      <c r="I14" s="17" t="s">
        <v>217</v>
      </c>
      <c r="J14" s="19" t="s">
        <v>218</v>
      </c>
      <c r="K14" s="17" t="s">
        <v>219</v>
      </c>
      <c r="L14" s="17" t="s">
        <v>220</v>
      </c>
    </row>
    <row r="15" customFormat="false" ht="90" hidden="false" customHeight="true" outlineLevel="0" collapsed="false">
      <c r="A15" s="16" t="s">
        <v>221</v>
      </c>
      <c r="B15" s="17" t="s">
        <v>95</v>
      </c>
      <c r="C15" s="17" t="s">
        <v>222</v>
      </c>
      <c r="D15" s="17" t="s">
        <v>223</v>
      </c>
      <c r="E15" s="17" t="s">
        <v>224</v>
      </c>
      <c r="F15" s="17" t="s">
        <v>225</v>
      </c>
      <c r="G15" s="17" t="s">
        <v>226</v>
      </c>
      <c r="H15" s="17" t="s">
        <v>227</v>
      </c>
      <c r="I15" s="17" t="s">
        <v>228</v>
      </c>
      <c r="J15" s="17" t="s">
        <v>49</v>
      </c>
      <c r="K15" s="17" t="s">
        <v>229</v>
      </c>
      <c r="L15" s="17" t="s">
        <v>230</v>
      </c>
    </row>
  </sheetData>
  <mergeCells count="2">
    <mergeCell ref="A1:L1"/>
    <mergeCell ref="A2:L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4" min="4" style="0" width="40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231</v>
      </c>
      <c r="B1" s="1"/>
      <c r="C1" s="1"/>
      <c r="D1" s="1"/>
      <c r="E1" s="1"/>
    </row>
    <row r="2" customFormat="false" ht="11.9" hidden="false" customHeight="false" outlineLevel="0" collapsed="false">
      <c r="A2" s="2" t="s">
        <v>232</v>
      </c>
      <c r="B2" s="2"/>
      <c r="C2" s="2"/>
      <c r="D2" s="2"/>
      <c r="E2" s="2"/>
    </row>
    <row r="4" customFormat="false" ht="33.75" hidden="false" customHeight="true" outlineLevel="0" collapsed="false">
      <c r="A4" s="11" t="s">
        <v>233</v>
      </c>
      <c r="B4" s="11" t="s">
        <v>234</v>
      </c>
      <c r="C4" s="11" t="s">
        <v>38</v>
      </c>
      <c r="D4" s="11" t="s">
        <v>235</v>
      </c>
      <c r="E4" s="11" t="s">
        <v>236</v>
      </c>
    </row>
    <row r="5" customFormat="false" ht="51.75" hidden="false" customHeight="true" outlineLevel="0" collapsed="false">
      <c r="A5" s="21" t="s">
        <v>237</v>
      </c>
      <c r="B5" s="13" t="s">
        <v>238</v>
      </c>
      <c r="C5" s="13" t="s">
        <v>239</v>
      </c>
      <c r="D5" s="13" t="s">
        <v>240</v>
      </c>
      <c r="E5" s="13" t="s">
        <v>241</v>
      </c>
    </row>
    <row r="6" customFormat="false" ht="51.75" hidden="false" customHeight="true" outlineLevel="0" collapsed="false">
      <c r="A6" s="21" t="s">
        <v>242</v>
      </c>
      <c r="B6" s="13" t="s">
        <v>243</v>
      </c>
      <c r="C6" s="13" t="s">
        <v>244</v>
      </c>
      <c r="D6" s="22" t="s">
        <v>245</v>
      </c>
      <c r="E6" s="13" t="s">
        <v>246</v>
      </c>
    </row>
    <row r="7" customFormat="false" ht="51.75" hidden="false" customHeight="true" outlineLevel="0" collapsed="false">
      <c r="A7" s="21" t="s">
        <v>247</v>
      </c>
      <c r="B7" s="13" t="s">
        <v>248</v>
      </c>
      <c r="C7" s="13" t="s">
        <v>249</v>
      </c>
      <c r="D7" s="13" t="s">
        <v>250</v>
      </c>
      <c r="E7" s="13" t="s">
        <v>251</v>
      </c>
    </row>
    <row r="8" customFormat="false" ht="51.75" hidden="false" customHeight="true" outlineLevel="0" collapsed="false">
      <c r="A8" s="21" t="s">
        <v>252</v>
      </c>
      <c r="B8" s="13" t="s">
        <v>253</v>
      </c>
      <c r="C8" s="13" t="s">
        <v>254</v>
      </c>
      <c r="D8" s="22" t="s">
        <v>255</v>
      </c>
      <c r="E8" s="13" t="s">
        <v>256</v>
      </c>
    </row>
    <row r="9" customFormat="false" ht="51.75" hidden="false" customHeight="true" outlineLevel="0" collapsed="false">
      <c r="A9" s="21" t="s">
        <v>257</v>
      </c>
      <c r="B9" s="13" t="s">
        <v>258</v>
      </c>
      <c r="C9" s="13" t="s">
        <v>259</v>
      </c>
      <c r="D9" s="13" t="s">
        <v>260</v>
      </c>
      <c r="E9" s="13" t="s">
        <v>261</v>
      </c>
    </row>
    <row r="10" customFormat="false" ht="51.75" hidden="false" customHeight="true" outlineLevel="0" collapsed="false">
      <c r="A10" s="21" t="s">
        <v>262</v>
      </c>
      <c r="B10" s="13" t="s">
        <v>263</v>
      </c>
      <c r="C10" s="13" t="s">
        <v>264</v>
      </c>
      <c r="D10" s="22" t="s">
        <v>265</v>
      </c>
      <c r="E10" s="13" t="s">
        <v>266</v>
      </c>
    </row>
  </sheetData>
  <mergeCells count="2">
    <mergeCell ref="A1:E1"/>
    <mergeCell ref="A2:E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60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267</v>
      </c>
      <c r="B1" s="1"/>
      <c r="C1" s="1"/>
      <c r="D1" s="1"/>
      <c r="E1" s="1"/>
    </row>
    <row r="2" customFormat="false" ht="11.9" hidden="false" customHeight="false" outlineLevel="0" collapsed="false">
      <c r="A2" s="2" t="s">
        <v>268</v>
      </c>
      <c r="B2" s="2"/>
      <c r="C2" s="2"/>
      <c r="D2" s="2"/>
      <c r="E2" s="2"/>
    </row>
    <row r="4" customFormat="false" ht="33.75" hidden="false" customHeight="true" outlineLevel="0" collapsed="false">
      <c r="A4" s="11" t="s">
        <v>269</v>
      </c>
      <c r="B4" s="11" t="s">
        <v>270</v>
      </c>
      <c r="C4" s="11" t="s">
        <v>38</v>
      </c>
      <c r="D4" s="11" t="s">
        <v>271</v>
      </c>
      <c r="E4" s="11" t="s">
        <v>272</v>
      </c>
    </row>
    <row r="5" customFormat="false" ht="31.5" hidden="false" customHeight="true" outlineLevel="0" collapsed="false">
      <c r="A5" s="14" t="s">
        <v>273</v>
      </c>
      <c r="B5" s="23" t="s">
        <v>274</v>
      </c>
      <c r="C5" s="13" t="s">
        <v>275</v>
      </c>
      <c r="D5" s="24"/>
      <c r="E5" s="24"/>
    </row>
    <row r="6" customFormat="false" ht="31.5" hidden="false" customHeight="true" outlineLevel="0" collapsed="false">
      <c r="A6" s="14" t="s">
        <v>276</v>
      </c>
      <c r="B6" s="13" t="s">
        <v>277</v>
      </c>
      <c r="C6" s="13" t="s">
        <v>278</v>
      </c>
      <c r="D6" s="24"/>
      <c r="E6" s="24"/>
    </row>
    <row r="7" customFormat="false" ht="31.5" hidden="false" customHeight="true" outlineLevel="0" collapsed="false">
      <c r="A7" s="14" t="s">
        <v>279</v>
      </c>
      <c r="B7" s="13" t="s">
        <v>280</v>
      </c>
      <c r="C7" s="13" t="s">
        <v>281</v>
      </c>
      <c r="D7" s="24"/>
      <c r="E7" s="24"/>
    </row>
    <row r="8" customFormat="false" ht="31.5" hidden="false" customHeight="true" outlineLevel="0" collapsed="false">
      <c r="A8" s="14" t="s">
        <v>282</v>
      </c>
      <c r="B8" s="13" t="s">
        <v>283</v>
      </c>
      <c r="C8" s="13" t="s">
        <v>284</v>
      </c>
      <c r="D8" s="24"/>
      <c r="E8" s="24"/>
    </row>
    <row r="9" customFormat="false" ht="31.5" hidden="false" customHeight="true" outlineLevel="0" collapsed="false">
      <c r="A9" s="14" t="s">
        <v>285</v>
      </c>
      <c r="B9" s="13" t="s">
        <v>286</v>
      </c>
      <c r="C9" s="13" t="s">
        <v>287</v>
      </c>
      <c r="D9" s="24"/>
      <c r="E9" s="24"/>
    </row>
    <row r="10" customFormat="false" ht="31.5" hidden="false" customHeight="true" outlineLevel="0" collapsed="false">
      <c r="A10" s="14" t="s">
        <v>288</v>
      </c>
      <c r="B10" s="13" t="s">
        <v>289</v>
      </c>
      <c r="C10" s="13" t="s">
        <v>284</v>
      </c>
      <c r="D10" s="24"/>
      <c r="E10" s="24"/>
    </row>
    <row r="11" customFormat="false" ht="31.5" hidden="false" customHeight="true" outlineLevel="0" collapsed="false">
      <c r="A11" s="14" t="s">
        <v>290</v>
      </c>
      <c r="B11" s="13" t="s">
        <v>291</v>
      </c>
      <c r="C11" s="13" t="s">
        <v>284</v>
      </c>
      <c r="D11" s="24"/>
      <c r="E11" s="24"/>
    </row>
    <row r="12" customFormat="false" ht="31.5" hidden="false" customHeight="true" outlineLevel="0" collapsed="false">
      <c r="A12" s="14" t="s">
        <v>292</v>
      </c>
      <c r="B12" s="13" t="s">
        <v>293</v>
      </c>
      <c r="C12" s="13" t="s">
        <v>294</v>
      </c>
      <c r="D12" s="24"/>
      <c r="E12" s="24"/>
    </row>
    <row r="13" customFormat="false" ht="31.5" hidden="false" customHeight="true" outlineLevel="0" collapsed="false">
      <c r="A13" s="14" t="s">
        <v>295</v>
      </c>
      <c r="B13" s="23" t="s">
        <v>296</v>
      </c>
      <c r="C13" s="13" t="s">
        <v>278</v>
      </c>
      <c r="D13" s="24"/>
      <c r="E13" s="24"/>
    </row>
    <row r="14" customFormat="false" ht="31.5" hidden="false" customHeight="true" outlineLevel="0" collapsed="false">
      <c r="A14" s="14" t="s">
        <v>297</v>
      </c>
      <c r="B14" s="23" t="s">
        <v>298</v>
      </c>
      <c r="C14" s="13" t="s">
        <v>299</v>
      </c>
      <c r="D14" s="24"/>
      <c r="E14" s="24"/>
    </row>
    <row r="15" customFormat="false" ht="31.5" hidden="false" customHeight="true" outlineLevel="0" collapsed="false">
      <c r="A15" s="14" t="s">
        <v>300</v>
      </c>
      <c r="B15" s="23" t="s">
        <v>298</v>
      </c>
      <c r="C15" s="13" t="s">
        <v>301</v>
      </c>
      <c r="D15" s="24"/>
      <c r="E15" s="24"/>
    </row>
    <row r="16" customFormat="false" ht="31.5" hidden="false" customHeight="true" outlineLevel="0" collapsed="false">
      <c r="A16" s="14" t="s">
        <v>302</v>
      </c>
      <c r="B16" s="13" t="s">
        <v>303</v>
      </c>
      <c r="C16" s="13" t="s">
        <v>304</v>
      </c>
      <c r="D16" s="24"/>
      <c r="E16" s="24"/>
    </row>
    <row r="17" customFormat="false" ht="31.5" hidden="false" customHeight="true" outlineLevel="0" collapsed="false">
      <c r="A17" s="14" t="s">
        <v>305</v>
      </c>
      <c r="B17" s="13" t="s">
        <v>306</v>
      </c>
      <c r="C17" s="13" t="s">
        <v>307</v>
      </c>
      <c r="D17" s="24"/>
      <c r="E17" s="24"/>
    </row>
  </sheetData>
  <mergeCells count="2">
    <mergeCell ref="A1:E1"/>
    <mergeCell ref="A2:E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5" min="4" style="0" width="14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 t="s">
        <v>308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309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310</v>
      </c>
      <c r="B3" s="4"/>
      <c r="C3" s="4"/>
      <c r="D3" s="3" t="s">
        <v>5</v>
      </c>
      <c r="E3" s="4"/>
      <c r="F3" s="4"/>
    </row>
    <row r="5" customFormat="false" ht="33.75" hidden="false" customHeight="true" outlineLevel="0" collapsed="false">
      <c r="A5" s="11" t="s">
        <v>311</v>
      </c>
      <c r="B5" s="11" t="s">
        <v>312</v>
      </c>
      <c r="C5" s="11" t="s">
        <v>313</v>
      </c>
      <c r="D5" s="11"/>
      <c r="E5" s="11"/>
      <c r="F5" s="11" t="s">
        <v>314</v>
      </c>
    </row>
    <row r="6" customFormat="false" ht="39.75" hidden="false" customHeight="true" outlineLevel="0" collapsed="false">
      <c r="A6" s="12" t="n">
        <v>1</v>
      </c>
      <c r="B6" s="13" t="s">
        <v>315</v>
      </c>
      <c r="C6" s="25"/>
      <c r="D6" s="25"/>
      <c r="E6" s="25"/>
      <c r="F6" s="15"/>
    </row>
    <row r="7" customFormat="false" ht="39.75" hidden="false" customHeight="true" outlineLevel="0" collapsed="false">
      <c r="A7" s="12" t="n">
        <v>2</v>
      </c>
      <c r="B7" s="13" t="s">
        <v>316</v>
      </c>
      <c r="C7" s="25"/>
      <c r="D7" s="25"/>
      <c r="E7" s="25"/>
      <c r="F7" s="15"/>
    </row>
    <row r="8" customFormat="false" ht="39.75" hidden="false" customHeight="true" outlineLevel="0" collapsed="false">
      <c r="A8" s="12" t="n">
        <v>3</v>
      </c>
      <c r="B8" s="13" t="s">
        <v>317</v>
      </c>
      <c r="C8" s="25"/>
      <c r="D8" s="25"/>
      <c r="E8" s="25"/>
      <c r="F8" s="15"/>
    </row>
    <row r="9" customFormat="false" ht="39.75" hidden="false" customHeight="true" outlineLevel="0" collapsed="false">
      <c r="A9" s="12" t="n">
        <v>4</v>
      </c>
      <c r="B9" s="13" t="s">
        <v>318</v>
      </c>
      <c r="C9" s="25"/>
      <c r="D9" s="25"/>
      <c r="E9" s="25"/>
      <c r="F9" s="15"/>
    </row>
    <row r="10" customFormat="false" ht="39.75" hidden="false" customHeight="true" outlineLevel="0" collapsed="false">
      <c r="A10" s="12" t="n">
        <v>5</v>
      </c>
      <c r="B10" s="13" t="s">
        <v>319</v>
      </c>
      <c r="C10" s="25"/>
      <c r="D10" s="25"/>
      <c r="E10" s="25"/>
      <c r="F10" s="15"/>
    </row>
    <row r="11" customFormat="false" ht="39.75" hidden="false" customHeight="true" outlineLevel="0" collapsed="false">
      <c r="A11" s="12" t="n">
        <v>6</v>
      </c>
      <c r="B11" s="13" t="s">
        <v>320</v>
      </c>
      <c r="C11" s="25"/>
      <c r="D11" s="25"/>
      <c r="E11" s="25"/>
      <c r="F11" s="15"/>
    </row>
    <row r="12" customFormat="false" ht="39.75" hidden="false" customHeight="true" outlineLevel="0" collapsed="false">
      <c r="A12" s="12" t="n">
        <v>7</v>
      </c>
      <c r="B12" s="13" t="s">
        <v>321</v>
      </c>
      <c r="C12" s="25"/>
      <c r="D12" s="25"/>
      <c r="E12" s="25"/>
      <c r="F12" s="15"/>
    </row>
    <row r="13" customFormat="false" ht="39.75" hidden="false" customHeight="true" outlineLevel="0" collapsed="false">
      <c r="A13" s="12" t="n">
        <v>8</v>
      </c>
      <c r="B13" s="13" t="s">
        <v>322</v>
      </c>
      <c r="C13" s="25"/>
      <c r="D13" s="25"/>
      <c r="E13" s="25"/>
      <c r="F13" s="15"/>
    </row>
    <row r="14" customFormat="false" ht="39.75" hidden="false" customHeight="true" outlineLevel="0" collapsed="false">
      <c r="A14" s="12" t="n">
        <v>9</v>
      </c>
      <c r="B14" s="13" t="s">
        <v>323</v>
      </c>
      <c r="C14" s="25"/>
      <c r="D14" s="25"/>
      <c r="E14" s="25"/>
      <c r="F14" s="15"/>
    </row>
    <row r="15" customFormat="false" ht="39.75" hidden="false" customHeight="true" outlineLevel="0" collapsed="false">
      <c r="A15" s="12" t="n">
        <v>10</v>
      </c>
      <c r="B15" s="13" t="s">
        <v>324</v>
      </c>
      <c r="C15" s="25"/>
      <c r="D15" s="25"/>
      <c r="E15" s="25"/>
      <c r="F15" s="15"/>
    </row>
    <row r="16" customFormat="false" ht="15" hidden="false" customHeight="false" outlineLevel="0" collapsed="false">
      <c r="A16" s="26" t="s">
        <v>325</v>
      </c>
      <c r="B16" s="26"/>
      <c r="C16" s="26"/>
      <c r="D16" s="26"/>
      <c r="E16" s="26"/>
      <c r="F16" s="27" t="n">
        <f aca="false">SUM(F6:F15)</f>
        <v>0</v>
      </c>
    </row>
    <row r="18" customFormat="false" ht="14.9" hidden="false" customHeight="false" outlineLevel="0" collapsed="false">
      <c r="A18" s="28" t="s">
        <v>326</v>
      </c>
      <c r="B18" s="28"/>
      <c r="C18" s="28"/>
      <c r="D18" s="28"/>
      <c r="E18" s="28"/>
      <c r="F18" s="28"/>
    </row>
    <row r="19" customFormat="false" ht="33.75" hidden="false" customHeight="true" outlineLevel="0" collapsed="false">
      <c r="A19" s="11" t="s">
        <v>327</v>
      </c>
      <c r="B19" s="11" t="s">
        <v>310</v>
      </c>
      <c r="C19" s="11" t="s">
        <v>328</v>
      </c>
      <c r="D19" s="11" t="s">
        <v>329</v>
      </c>
      <c r="E19" s="11" t="s">
        <v>330</v>
      </c>
      <c r="F19" s="11" t="s">
        <v>331</v>
      </c>
    </row>
    <row r="20" customFormat="false" ht="21.75" hidden="false" customHeight="true" outlineLevel="0" collapsed="false">
      <c r="A20" s="12" t="n">
        <v>1</v>
      </c>
      <c r="B20" s="15"/>
      <c r="C20" s="15"/>
      <c r="D20" s="27" t="str">
        <f aca="false">IF(C20="","",IF(C20&gt;=8,"ผ่าน","ทบทวน"))</f>
        <v/>
      </c>
      <c r="E20" s="15"/>
      <c r="F20" s="15"/>
    </row>
    <row r="21" customFormat="false" ht="21.75" hidden="false" customHeight="true" outlineLevel="0" collapsed="false">
      <c r="A21" s="12" t="n">
        <v>2</v>
      </c>
      <c r="B21" s="15"/>
      <c r="C21" s="15"/>
      <c r="D21" s="27" t="str">
        <f aca="false">IF(C21="","",IF(C21&gt;=8,"ผ่าน","ทบทวน"))</f>
        <v/>
      </c>
      <c r="E21" s="15"/>
      <c r="F21" s="15"/>
    </row>
    <row r="22" customFormat="false" ht="21.75" hidden="false" customHeight="true" outlineLevel="0" collapsed="false">
      <c r="A22" s="12" t="n">
        <v>3</v>
      </c>
      <c r="B22" s="15"/>
      <c r="C22" s="15"/>
      <c r="D22" s="27" t="str">
        <f aca="false">IF(C22="","",IF(C22&gt;=8,"ผ่าน","ทบทวน"))</f>
        <v/>
      </c>
      <c r="E22" s="15"/>
      <c r="F22" s="15"/>
    </row>
    <row r="23" customFormat="false" ht="21.75" hidden="false" customHeight="true" outlineLevel="0" collapsed="false">
      <c r="A23" s="12" t="n">
        <v>4</v>
      </c>
      <c r="B23" s="15"/>
      <c r="C23" s="15"/>
      <c r="D23" s="27" t="str">
        <f aca="false">IF(C23="","",IF(C23&gt;=8,"ผ่าน","ทบทวน"))</f>
        <v/>
      </c>
      <c r="E23" s="15"/>
      <c r="F23" s="15"/>
    </row>
    <row r="24" customFormat="false" ht="21.75" hidden="false" customHeight="true" outlineLevel="0" collapsed="false">
      <c r="A24" s="12" t="n">
        <v>5</v>
      </c>
      <c r="B24" s="15"/>
      <c r="C24" s="15"/>
      <c r="D24" s="27" t="str">
        <f aca="false">IF(C24="","",IF(C24&gt;=8,"ผ่าน","ทบทวน"))</f>
        <v/>
      </c>
      <c r="E24" s="15"/>
      <c r="F24" s="15"/>
    </row>
    <row r="25" customFormat="false" ht="21.75" hidden="false" customHeight="true" outlineLevel="0" collapsed="false">
      <c r="A25" s="12" t="n">
        <v>6</v>
      </c>
      <c r="B25" s="15"/>
      <c r="C25" s="15"/>
      <c r="D25" s="27" t="str">
        <f aca="false">IF(C25="","",IF(C25&gt;=8,"ผ่าน","ทบทวน"))</f>
        <v/>
      </c>
      <c r="E25" s="15"/>
      <c r="F25" s="15"/>
    </row>
    <row r="26" customFormat="false" ht="21.75" hidden="false" customHeight="true" outlineLevel="0" collapsed="false">
      <c r="A26" s="12" t="n">
        <v>7</v>
      </c>
      <c r="B26" s="15"/>
      <c r="C26" s="15"/>
      <c r="D26" s="27" t="str">
        <f aca="false">IF(C26="","",IF(C26&gt;=8,"ผ่าน","ทบทวน"))</f>
        <v/>
      </c>
      <c r="E26" s="15"/>
      <c r="F26" s="15"/>
    </row>
    <row r="27" customFormat="false" ht="21.75" hidden="false" customHeight="true" outlineLevel="0" collapsed="false">
      <c r="A27" s="12" t="n">
        <v>8</v>
      </c>
      <c r="B27" s="15"/>
      <c r="C27" s="15"/>
      <c r="D27" s="27" t="str">
        <f aca="false">IF(C27="","",IF(C27&gt;=8,"ผ่าน","ทบทวน"))</f>
        <v/>
      </c>
      <c r="E27" s="15"/>
      <c r="F27" s="15"/>
    </row>
    <row r="28" customFormat="false" ht="21.75" hidden="false" customHeight="true" outlineLevel="0" collapsed="false">
      <c r="A28" s="12" t="n">
        <v>9</v>
      </c>
      <c r="B28" s="15"/>
      <c r="C28" s="15"/>
      <c r="D28" s="27" t="str">
        <f aca="false">IF(C28="","",IF(C28&gt;=8,"ผ่าน","ทบทวน"))</f>
        <v/>
      </c>
      <c r="E28" s="15"/>
      <c r="F28" s="15"/>
    </row>
    <row r="29" customFormat="false" ht="21.75" hidden="false" customHeight="true" outlineLevel="0" collapsed="false">
      <c r="A29" s="12" t="n">
        <v>10</v>
      </c>
      <c r="B29" s="15"/>
      <c r="C29" s="15"/>
      <c r="D29" s="27" t="str">
        <f aca="false">IF(C29="","",IF(C29&gt;=8,"ผ่าน","ทบทวน"))</f>
        <v/>
      </c>
      <c r="E29" s="15"/>
      <c r="F29" s="15"/>
    </row>
    <row r="30" customFormat="false" ht="12.65" hidden="false" customHeight="false" outlineLevel="0" collapsed="false">
      <c r="A30" s="29" t="str">
        <f aca="false">COUNTIF(D20:D29,"ผ่าน")&amp;" คนผ่าน จาก "&amp;COUNT(C20:C29)&amp;" คนที่ทดสอบ"</f>
        <v>0 คนผ่าน จาก 0 คนที่ทดสอบ</v>
      </c>
      <c r="B30" s="29"/>
      <c r="C30" s="29"/>
      <c r="D30" s="29"/>
      <c r="E30" s="29"/>
      <c r="F30" s="29"/>
    </row>
  </sheetData>
  <mergeCells count="17">
    <mergeCell ref="A1:F1"/>
    <mergeCell ref="A2:F2"/>
    <mergeCell ref="B3:C3"/>
    <mergeCell ref="E3:F3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A16:E16"/>
    <mergeCell ref="A18:F18"/>
    <mergeCell ref="A30:F30"/>
  </mergeCells>
  <dataValidations count="2">
    <dataValidation allowBlank="true" errorStyle="stop" operator="between" showDropDown="false" showErrorMessage="false" showInputMessage="false" sqref="F6:F15" type="list">
      <formula1>"1,0"</formula1>
      <formula2>0</formula2>
    </dataValidation>
    <dataValidation allowBlank="true" errorStyle="stop" operator="between" prompt="1 รู้ (Know) · 2 ทำได้ (Can manage) · 3 มั่นใจ (Confident) · 4 สอนได้ (Can teach)" promptTitle="ระดับทักษะ" showDropDown="false" showErrorMessage="false" showInputMessage="false" sqref="E20:E29" type="list">
      <formula1>"1 รู้,2 ทำได้,3 มั่นใจ,4 สอนได้"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56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" t="s">
        <v>332</v>
      </c>
      <c r="B1" s="1"/>
      <c r="C1" s="1"/>
      <c r="D1" s="1"/>
    </row>
    <row r="2" customFormat="false" ht="11.9" hidden="false" customHeight="false" outlineLevel="0" collapsed="false">
      <c r="A2" s="2" t="s">
        <v>333</v>
      </c>
      <c r="B2" s="2"/>
      <c r="C2" s="2"/>
      <c r="D2" s="2"/>
    </row>
    <row r="4" customFormat="false" ht="33.75" hidden="false" customHeight="true" outlineLevel="0" collapsed="false">
      <c r="A4" s="11" t="s">
        <v>311</v>
      </c>
      <c r="B4" s="11" t="s">
        <v>312</v>
      </c>
      <c r="C4" s="11" t="s">
        <v>334</v>
      </c>
      <c r="D4" s="11" t="s">
        <v>335</v>
      </c>
    </row>
    <row r="5" customFormat="false" ht="33.75" hidden="false" customHeight="true" outlineLevel="0" collapsed="false">
      <c r="A5" s="12" t="n">
        <v>1</v>
      </c>
      <c r="B5" s="13" t="s">
        <v>336</v>
      </c>
      <c r="C5" s="14" t="s">
        <v>337</v>
      </c>
      <c r="D5" s="13" t="s">
        <v>338</v>
      </c>
    </row>
    <row r="6" customFormat="false" ht="33.75" hidden="false" customHeight="true" outlineLevel="0" collapsed="false">
      <c r="A6" s="12" t="n">
        <v>2</v>
      </c>
      <c r="B6" s="13" t="s">
        <v>339</v>
      </c>
      <c r="C6" s="14" t="s">
        <v>340</v>
      </c>
      <c r="D6" s="13" t="s">
        <v>341</v>
      </c>
    </row>
    <row r="7" customFormat="false" ht="33.75" hidden="false" customHeight="true" outlineLevel="0" collapsed="false">
      <c r="A7" s="12" t="n">
        <v>3</v>
      </c>
      <c r="B7" s="13" t="s">
        <v>342</v>
      </c>
      <c r="C7" s="14" t="s">
        <v>343</v>
      </c>
      <c r="D7" s="13" t="s">
        <v>341</v>
      </c>
    </row>
    <row r="8" customFormat="false" ht="33.75" hidden="false" customHeight="true" outlineLevel="0" collapsed="false">
      <c r="A8" s="12" t="n">
        <v>4</v>
      </c>
      <c r="B8" s="13" t="s">
        <v>344</v>
      </c>
      <c r="C8" s="14" t="s">
        <v>345</v>
      </c>
      <c r="D8" s="13" t="s">
        <v>341</v>
      </c>
    </row>
    <row r="9" customFormat="false" ht="33.75" hidden="false" customHeight="true" outlineLevel="0" collapsed="false">
      <c r="A9" s="12" t="n">
        <v>5</v>
      </c>
      <c r="B9" s="13" t="s">
        <v>346</v>
      </c>
      <c r="C9" s="14" t="s">
        <v>347</v>
      </c>
      <c r="D9" s="13" t="s">
        <v>348</v>
      </c>
    </row>
    <row r="10" customFormat="false" ht="33.75" hidden="false" customHeight="true" outlineLevel="0" collapsed="false">
      <c r="A10" s="12" t="n">
        <v>6</v>
      </c>
      <c r="B10" s="13" t="s">
        <v>349</v>
      </c>
      <c r="C10" s="14" t="s">
        <v>350</v>
      </c>
      <c r="D10" s="13" t="s">
        <v>351</v>
      </c>
    </row>
    <row r="11" customFormat="false" ht="33.75" hidden="false" customHeight="true" outlineLevel="0" collapsed="false">
      <c r="A11" s="12" t="n">
        <v>7</v>
      </c>
      <c r="B11" s="13" t="s">
        <v>352</v>
      </c>
      <c r="C11" s="14" t="s">
        <v>353</v>
      </c>
      <c r="D11" s="13" t="s">
        <v>354</v>
      </c>
    </row>
    <row r="12" customFormat="false" ht="33.75" hidden="false" customHeight="true" outlineLevel="0" collapsed="false">
      <c r="A12" s="12" t="n">
        <v>8</v>
      </c>
      <c r="B12" s="13" t="s">
        <v>355</v>
      </c>
      <c r="C12" s="14" t="s">
        <v>356</v>
      </c>
      <c r="D12" s="13" t="s">
        <v>357</v>
      </c>
    </row>
    <row r="13" customFormat="false" ht="33.75" hidden="false" customHeight="true" outlineLevel="0" collapsed="false">
      <c r="A13" s="12" t="n">
        <v>9</v>
      </c>
      <c r="B13" s="13" t="s">
        <v>358</v>
      </c>
      <c r="C13" s="14" t="s">
        <v>359</v>
      </c>
      <c r="D13" s="13" t="s">
        <v>360</v>
      </c>
    </row>
    <row r="14" customFormat="false" ht="33.75" hidden="false" customHeight="true" outlineLevel="0" collapsed="false">
      <c r="A14" s="12" t="n">
        <v>10</v>
      </c>
      <c r="B14" s="13" t="s">
        <v>361</v>
      </c>
      <c r="C14" s="14" t="s">
        <v>362</v>
      </c>
      <c r="D14" s="13" t="s">
        <v>363</v>
      </c>
    </row>
  </sheetData>
  <mergeCells count="2">
    <mergeCell ref="A1:D1"/>
    <mergeCell ref="A2:D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3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364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365</v>
      </c>
      <c r="B2" s="2"/>
      <c r="C2" s="2"/>
      <c r="D2" s="2"/>
      <c r="E2" s="2"/>
      <c r="F2" s="2"/>
      <c r="G2" s="2"/>
    </row>
    <row r="4" customFormat="false" ht="33.75" hidden="false" customHeight="true" outlineLevel="0" collapsed="false">
      <c r="A4" s="11" t="s">
        <v>327</v>
      </c>
      <c r="B4" s="11" t="s">
        <v>366</v>
      </c>
      <c r="C4" s="11" t="s">
        <v>367</v>
      </c>
      <c r="D4" s="11" t="s">
        <v>368</v>
      </c>
      <c r="E4" s="11" t="s">
        <v>272</v>
      </c>
      <c r="F4" s="11" t="s">
        <v>5</v>
      </c>
      <c r="G4" s="11" t="s">
        <v>369</v>
      </c>
    </row>
    <row r="5" customFormat="false" ht="36" hidden="false" customHeight="true" outlineLevel="0" collapsed="false">
      <c r="A5" s="12" t="n">
        <v>1</v>
      </c>
      <c r="B5" s="13" t="s">
        <v>370</v>
      </c>
      <c r="C5" s="13" t="s">
        <v>371</v>
      </c>
      <c r="D5" s="23" t="s">
        <v>296</v>
      </c>
      <c r="E5" s="30"/>
      <c r="F5" s="30"/>
      <c r="G5" s="30"/>
    </row>
    <row r="6" customFormat="false" ht="36" hidden="false" customHeight="true" outlineLevel="0" collapsed="false">
      <c r="A6" s="12" t="n">
        <v>2</v>
      </c>
      <c r="B6" s="13" t="s">
        <v>372</v>
      </c>
      <c r="C6" s="13" t="s">
        <v>373</v>
      </c>
      <c r="D6" s="23" t="s">
        <v>374</v>
      </c>
      <c r="E6" s="30"/>
      <c r="F6" s="30"/>
      <c r="G6" s="30"/>
    </row>
    <row r="7" customFormat="false" ht="36" hidden="false" customHeight="true" outlineLevel="0" collapsed="false">
      <c r="A7" s="12" t="n">
        <v>3</v>
      </c>
      <c r="B7" s="22" t="s">
        <v>375</v>
      </c>
      <c r="C7" s="13" t="s">
        <v>376</v>
      </c>
      <c r="D7" s="13" t="s">
        <v>377</v>
      </c>
      <c r="E7" s="30"/>
      <c r="F7" s="30"/>
      <c r="G7" s="30"/>
    </row>
    <row r="8" customFormat="false" ht="36" hidden="false" customHeight="true" outlineLevel="0" collapsed="false">
      <c r="A8" s="12" t="n">
        <v>4</v>
      </c>
      <c r="B8" s="13" t="s">
        <v>378</v>
      </c>
      <c r="C8" s="13" t="s">
        <v>379</v>
      </c>
      <c r="D8" s="13" t="s">
        <v>380</v>
      </c>
      <c r="E8" s="30"/>
      <c r="F8" s="30"/>
      <c r="G8" s="30"/>
    </row>
    <row r="9" customFormat="false" ht="36" hidden="false" customHeight="true" outlineLevel="0" collapsed="false">
      <c r="A9" s="12" t="n">
        <v>5</v>
      </c>
      <c r="B9" s="13" t="s">
        <v>381</v>
      </c>
      <c r="C9" s="13" t="s">
        <v>382</v>
      </c>
      <c r="D9" s="13" t="s">
        <v>383</v>
      </c>
      <c r="E9" s="30"/>
      <c r="F9" s="30"/>
      <c r="G9" s="30"/>
    </row>
    <row r="10" customFormat="false" ht="36" hidden="false" customHeight="true" outlineLevel="0" collapsed="false">
      <c r="A10" s="12" t="n">
        <v>6</v>
      </c>
      <c r="B10" s="13" t="s">
        <v>384</v>
      </c>
      <c r="C10" s="13" t="s">
        <v>385</v>
      </c>
      <c r="D10" s="13" t="s">
        <v>380</v>
      </c>
      <c r="E10" s="30"/>
      <c r="F10" s="30"/>
      <c r="G10" s="30"/>
    </row>
    <row r="11" customFormat="false" ht="36" hidden="false" customHeight="true" outlineLevel="0" collapsed="false">
      <c r="A11" s="12" t="n">
        <v>7</v>
      </c>
      <c r="B11" s="13" t="s">
        <v>386</v>
      </c>
      <c r="C11" s="13" t="s">
        <v>387</v>
      </c>
      <c r="D11" s="13" t="s">
        <v>380</v>
      </c>
      <c r="E11" s="30"/>
      <c r="F11" s="30"/>
      <c r="G11" s="30"/>
    </row>
    <row r="12" customFormat="false" ht="36" hidden="false" customHeight="true" outlineLevel="0" collapsed="false">
      <c r="A12" s="12" t="n">
        <v>8</v>
      </c>
      <c r="B12" s="13" t="s">
        <v>388</v>
      </c>
      <c r="C12" s="13" t="s">
        <v>389</v>
      </c>
      <c r="D12" s="13" t="s">
        <v>390</v>
      </c>
      <c r="E12" s="30"/>
      <c r="F12" s="30"/>
      <c r="G12" s="30"/>
    </row>
    <row r="13" customFormat="false" ht="36" hidden="false" customHeight="true" outlineLevel="0" collapsed="false">
      <c r="A13" s="12" t="n">
        <v>9</v>
      </c>
      <c r="B13" s="13" t="s">
        <v>391</v>
      </c>
      <c r="C13" s="13" t="s">
        <v>392</v>
      </c>
      <c r="D13" s="13" t="s">
        <v>393</v>
      </c>
      <c r="E13" s="30"/>
      <c r="F13" s="30"/>
      <c r="G13" s="30"/>
    </row>
    <row r="14" customFormat="false" ht="36" hidden="false" customHeight="true" outlineLevel="0" collapsed="false">
      <c r="A14" s="12" t="n">
        <v>10</v>
      </c>
      <c r="B14" s="13" t="s">
        <v>394</v>
      </c>
      <c r="C14" s="13" t="s">
        <v>395</v>
      </c>
      <c r="D14" s="13" t="s">
        <v>396</v>
      </c>
      <c r="E14" s="30"/>
      <c r="F14" s="30"/>
      <c r="G14" s="30"/>
    </row>
    <row r="15" customFormat="false" ht="36" hidden="false" customHeight="true" outlineLevel="0" collapsed="false">
      <c r="A15" s="12" t="n">
        <v>11</v>
      </c>
      <c r="B15" s="13" t="s">
        <v>397</v>
      </c>
      <c r="C15" s="13" t="s">
        <v>398</v>
      </c>
      <c r="D15" s="13" t="s">
        <v>399</v>
      </c>
      <c r="E15" s="30"/>
      <c r="F15" s="30"/>
      <c r="G15" s="30"/>
    </row>
  </sheetData>
  <mergeCells count="2">
    <mergeCell ref="A1:G1"/>
    <mergeCell ref="A2:G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2026-10-05T05:59:02Z</dcterms:created>
  <dc:creator>openpyxl</dc:creator>
  <dc:description/>
  <dc:language>en-US</dc:language>
  <cp:lastModifiedBy/>
  <dcterms:modified xsi:type="dcterms:W3CDTF">2026-10-05T05:59:02Z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