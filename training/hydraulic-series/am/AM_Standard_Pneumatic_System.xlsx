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_To_Use" sheetId="1" state="visible" r:id="rId3"/>
    <sheet name="Breakdown" sheetId="2" state="visible" r:id="rId4"/>
    <sheet name="FMEA" sheetId="3" state="visible" r:id="rId5"/>
    <sheet name="AM_Standard" sheetId="4" state="visible" r:id="rId6"/>
    <sheet name="AM_Calendar" sheetId="5" state="visible" r:id="rId7"/>
    <sheet name="Kaizen_IoT_CBM" sheetId="6" state="visible" r:id="rId8"/>
    <sheet name="Verification" sheetId="7" state="visible" r:id="rId9"/>
    <sheet name="To_Confirm" sheetId="8" state="visible" r:id="rId10"/>
  </sheets>
  <definedNames>
    <definedName function="false" hidden="false" localSheetId="4" name="_xlnm.Print_Titles" vbProcedure="false">AM_Calendar!$4:$4</definedName>
    <definedName function="false" hidden="false" localSheetId="3" name="_xlnm.Print_Titles" vbProcedure="false">AM_Standard!$4:$4</definedName>
    <definedName function="false" hidden="false" localSheetId="1" name="_xlnm.Print_Titles" vbProcedure="false">Breakdown!$4:$4</definedName>
    <definedName function="false" hidden="false" localSheetId="2" name="_xlnm.Print_Titles" vbProcedure="false">FMEA!$4:$4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<sst xmlns="http://schemas.openxmlformats.org/spreadsheetml/2006/main" count="1178" uniqueCount="594">
  <si>
    <r>
      <rPr>
        <b val="true"/>
        <sz val="15"/>
        <color rgb="FFFFFFFF"/>
        <rFont val="Tahoma"/>
        <family val="0"/>
        <charset val="1"/>
      </rPr>
      <t xml:space="preserve">AM Standard — Pneumatic System (</t>
    </r>
    <r>
      <rPr>
        <b val="true"/>
        <sz val="15"/>
        <color rgb="FFFFFFFF"/>
        <rFont val="WenQuanYi Zen Hei"/>
        <family val="2"/>
      </rPr>
      <t xml:space="preserve">自主保全基準書 </t>
    </r>
    <r>
      <rPr>
        <b val="true"/>
        <sz val="15"/>
        <color rgb="FFFFFFFF"/>
        <rFont val="Tahoma"/>
        <family val="0"/>
        <charset val="1"/>
      </rPr>
      <t xml:space="preserve">= มาตรฐาน AM · ระบบลม)</t>
    </r>
  </si>
  <si>
    <t xml:space="preserve">AM Step 3–4 · Module 4-4 (Pneumatics) · จาก OPL 5'-A-1 … 5'-C-5 (JIPM-Solutions · Equipment Skills Training – Pneumatic) · วิดีโอ EP22–EP31</t>
  </si>
  <si>
    <t xml:space="preserve">เครื่องจักร</t>
  </si>
  <si>
    <t xml:space="preserve">Line / Section</t>
  </si>
  <si>
    <t xml:space="preserve">AM Step</t>
  </si>
  <si>
    <t xml:space="preserve">วันที่ / ผู้จัดทำ</t>
  </si>
  <si>
    <t xml:space="preserve">ชีท</t>
  </si>
  <si>
    <t xml:space="preserve">ใช้ทำอะไร</t>
  </si>
  <si>
    <t xml:space="preserve">Breakdown</t>
  </si>
  <si>
    <t xml:space="preserve">Step 1 · แยก System → Component/Part · หน้าที่ · สภาพปกติ · Module M1–M6 (ฉบับเต็มอยู่ในไฟล์ Know_My_Machine_Pneumatic_System.xlsx)</t>
  </si>
  <si>
    <t xml:space="preserve">FMEA</t>
  </si>
  <si>
    <t xml:space="preserve">Step 2 + 3A · Failure mode/effect/cause → CILT gap + Stress/Strength · S/O/D พร้อมเหตุผล · RPN และ Risk level คำนวณด้วยสูตร</t>
  </si>
  <si>
    <t xml:space="preserve">AM_Standard</t>
  </si>
  <si>
    <t xml:space="preserve">Step 4 · มาตรฐาน CILT: วิธีทำ 1-2-3 · เกณฑ์ ✓/✗ · ความถี่ · เวลา · Risk · Kaizen · ผลถ้าละเลย · ผู้รับผิดชอบ · ข้อใน AM Check Sheet</t>
  </si>
  <si>
    <t xml:space="preserve">AM_Calendar</t>
  </si>
  <si>
    <t xml:space="preserve">ปฏิทิน 12 เดือนตามความถี่ใน AM_Standard (D/W/Q/S/A) · เดือนของรอบ 3 เดือน/6 เดือน/1 ปี เป็นข้อเสนอ *</t>
  </si>
  <si>
    <t xml:space="preserve">Kaizen_IoT_CBM</t>
  </si>
  <si>
    <t xml:space="preserve">Step 3B · จุดที่เป็น HTA (เข้าถึงยาก) หรือ SOC (แหล่งสกปรก) และใช้เวลา &gt; 2 นาที → Visual control · Karakuri · IoT CBM</t>
  </si>
  <si>
    <t xml:space="preserve">Verification</t>
  </si>
  <si>
    <t xml:space="preserve">Step 5 · ตรวจ V1–V10 ก่อนใช้</t>
  </si>
  <si>
    <t xml:space="preserve">To_Confirm</t>
  </si>
  <si>
    <t xml:space="preserve">ประเด็นที่หัวหน้างาน / ฝ่ายซ่อม / Safety ต้องยืนยัน</t>
  </si>
  <si>
    <t xml:space="preserve">CILT</t>
  </si>
  <si>
    <r>
      <rPr>
        <sz val="10"/>
        <color rgb="FF1A1D21"/>
        <rFont val="Tahoma"/>
        <family val="0"/>
        <charset val="1"/>
      </rPr>
      <t xml:space="preserve">C = Cleaning (</t>
    </r>
    <r>
      <rPr>
        <sz val="10"/>
        <color rgb="FF1A1D21"/>
        <rFont val="WenQuanYi Zen Hei"/>
        <family val="2"/>
      </rPr>
      <t xml:space="preserve">清掃 </t>
    </r>
    <r>
      <rPr>
        <sz val="10"/>
        <color rgb="FF1A1D21"/>
        <rFont val="Tahoma"/>
        <family val="0"/>
        <charset val="1"/>
      </rPr>
      <t xml:space="preserve">ทำความสะอาด) · I = Inspection (</t>
    </r>
    <r>
      <rPr>
        <sz val="10"/>
        <color rgb="FF1A1D21"/>
        <rFont val="WenQuanYi Zen Hei"/>
        <family val="2"/>
      </rPr>
      <t xml:space="preserve">点検 </t>
    </r>
    <r>
      <rPr>
        <sz val="10"/>
        <color rgb="FF1A1D21"/>
        <rFont val="Tahoma"/>
        <family val="0"/>
        <charset val="1"/>
      </rPr>
      <t xml:space="preserve">ตรวจ) · L = Lubrication (</t>
    </r>
    <r>
      <rPr>
        <sz val="10"/>
        <color rgb="FF1A1D21"/>
        <rFont val="WenQuanYi Zen Hei"/>
        <family val="2"/>
      </rPr>
      <t xml:space="preserve">給油 </t>
    </r>
    <r>
      <rPr>
        <sz val="10"/>
        <color rgb="FF1A1D21"/>
        <rFont val="Tahoma"/>
        <family val="0"/>
        <charset val="1"/>
      </rPr>
      <t xml:space="preserve">หล่อลื่น/เติมน้ำมัน) · T = Tightening (</t>
    </r>
    <r>
      <rPr>
        <sz val="10"/>
        <color rgb="FF1A1D21"/>
        <rFont val="WenQuanYi Zen Hei"/>
        <family val="2"/>
      </rPr>
      <t xml:space="preserve">増締め </t>
    </r>
    <r>
      <rPr>
        <sz val="10"/>
        <color rgb="FF1A1D21"/>
        <rFont val="Tahoma"/>
        <family val="0"/>
        <charset val="1"/>
      </rPr>
      <t xml:space="preserve">ขันแน่น) · A = Alignment/Adjust (</t>
    </r>
    <r>
      <rPr>
        <sz val="10"/>
        <color rgb="FF1A1D21"/>
        <rFont val="WenQuanYi Zen Hei"/>
        <family val="2"/>
      </rPr>
      <t xml:space="preserve">芯出し・調整 </t>
    </r>
    <r>
      <rPr>
        <sz val="10"/>
        <color rgb="FF1A1D21"/>
        <rFont val="Tahoma"/>
        <family val="0"/>
        <charset val="1"/>
      </rPr>
      <t xml:space="preserve">ตั้งศูนย์/ปรับ)</t>
    </r>
  </si>
  <si>
    <t xml:space="preserve">Risk level</t>
  </si>
  <si>
    <t xml:space="preserve">CRITICAL: S ≥ 9 หรือ (S ≥ 7 และ RPN ≥ 200) · HIGH: S ≥ 7 หรือ RPN ≥ 150 หรือ O ≥ 7 · MEDIUM: D ≥ 8 · LOW: อื่นๆ (RPN = S × O × D)</t>
  </si>
  <si>
    <t xml:space="preserve">ป้ายที่มา</t>
  </si>
  <si>
    <t xml:space="preserve">PDF p.x = ต้นฉบับ JIPM-Solutions · [INFER] = หลักวิศวกรรมทั่วไป · [AI-KB] = ความรู้นอกต้นฉบับ (ราคา/อุปกรณ์) · * = ข้อเสนอ · [DATA REQUIRED] = ค่าของเครื่อง (ช่องเหลือง)</t>
  </si>
  <si>
    <t xml:space="preserve">ความเชื่อมั่น</t>
  </si>
  <si>
    <t xml:space="preserve">Breakdown / Normal condition / CILT: HIGH (จาก PDF p.35–49) · FMEA S, D: MEDIUM · O และเวลา: LOW–MEDIUM ([INFER] ยังไม่มีประวัติเสียและเวลาจริง) · ราคา Kaizen: LOW ([AI-KB])</t>
  </si>
  <si>
    <t xml:space="preserve">สมมติฐาน</t>
  </si>
  <si>
    <t xml:space="preserve">[ASSUME] ระบบลมมาตรฐานตามวงจร p.36 (FRL · Solenoid valve · Speed controller · Air cylinder) — เหตุผล: ไม่มีคู่มือเครื่องจริงและ Spare Part List</t>
  </si>
  <si>
    <t xml:space="preserve">ใช้คู่กับ</t>
  </si>
  <si>
    <t xml:space="preserve">Know_My_Machine_Pneumatic_System.xlsx (สอนก่อน) · AM_Check_Sheet_Pneumatic_System.xlsx (D/W/P = เลขข้อในชีท Daily/Weekly/Periodic) · วิดีโอ EP22–EP31</t>
  </si>
  <si>
    <t xml:space="preserve">Step 1 · Function &amp; Breakdown Analysis — ระบบลม</t>
  </si>
  <si>
    <t xml:space="preserve">System → Component/Part · Part No. ต้องใส่จาก Spare Part List ของเครื่องจริง · Module: M1 Bolt/Nut · M2 Lubrication · M3 Drive · M4 Hydraulics · M5 Pneumatics · M6 Electrical</t>
  </si>
  <si>
    <t xml:space="preserve">ID</t>
  </si>
  <si>
    <t xml:space="preserve">System</t>
  </si>
  <si>
    <t xml:space="preserve">Component / Part</t>
  </si>
  <si>
    <t xml:space="preserve">Part No.</t>
  </si>
  <si>
    <t xml:space="preserve">หน้าที่ (Function)</t>
  </si>
  <si>
    <t xml:space="preserve">สภาพปกติ (Normal condition + Spec)</t>
  </si>
  <si>
    <t xml:space="preserve">Module</t>
  </si>
  <si>
    <t xml:space="preserve">ที่มา</t>
  </si>
  <si>
    <t xml:space="preserve">① ระบบท่อลม (Air piping)</t>
  </si>
  <si>
    <t xml:space="preserve">P01</t>
  </si>
  <si>
    <t xml:space="preserve">ข้อต่อท่อ · Stop valve · สายยาง</t>
  </si>
  <si>
    <t xml:space="preserve">[DATA REQUIRED]</t>
  </si>
  <si>
    <t xml:space="preserve">ส่งลมจาก Compressor ถึงเครื่อง</t>
  </si>
  <si>
    <t xml:space="preserve">ไม่มีลมรั่ว (Table 2)</t>
  </si>
  <si>
    <t xml:space="preserve">M5</t>
  </si>
  <si>
    <t xml:space="preserve">PDF p.41, p.45</t>
  </si>
  <si>
    <t xml:space="preserve">P02</t>
  </si>
  <si>
    <t xml:space="preserve">หน้าแปลน · โบลต์ · ที่ยึดท่อ</t>
  </si>
  <si>
    <t xml:space="preserve">ยึดท่อไม่ให้สั่น</t>
  </si>
  <si>
    <t xml:space="preserve">ไม่หลวม · ท่อไม่สั่นผิดปกติ</t>
  </si>
  <si>
    <t xml:space="preserve">M1</t>
  </si>
  <si>
    <t xml:space="preserve">PDF p.44</t>
  </si>
  <si>
    <t xml:space="preserve">② ชุด 3 ตัว (FRL)</t>
  </si>
  <si>
    <t xml:space="preserve">P03</t>
  </si>
  <si>
    <t xml:space="preserve">Air filter — ถ้วย (Bowl) + Drain (Manual/Auto)</t>
  </si>
  <si>
    <t xml:space="preserve">เก็บน้ำและสิ่งสกปรกที่แยกได้ แล้วระบายออก</t>
  </si>
  <si>
    <t xml:space="preserve">ไม่มีน้ำขังในถ้วย · Auto drain ทำงาน</t>
  </si>
  <si>
    <t xml:space="preserve">PDF p.38, p.44–45, p.49</t>
  </si>
  <si>
    <t xml:space="preserve">P04</t>
  </si>
  <si>
    <t xml:space="preserve">Air filter — Case (ถ้วยใส)</t>
  </si>
  <si>
    <t xml:space="preserve">ห่อหุ้มลมอัดในชุดกรอง</t>
  </si>
  <si>
    <t xml:space="preserve">ไม่แตกร้าว</t>
  </si>
  <si>
    <t xml:space="preserve">PDF p.38, p.46</t>
  </si>
  <si>
    <t xml:space="preserve">P05</t>
  </si>
  <si>
    <t xml:space="preserve">Air filter — Filter element</t>
  </si>
  <si>
    <t xml:space="preserve">กรองฝุ่นและน้ำ</t>
  </si>
  <si>
    <t xml:space="preserve">ไม่ตัน · เข็มเกจ Regulator ไม่แกว่งมาก</t>
  </si>
  <si>
    <t xml:space="preserve">PDF p.38, p.46, p.49</t>
  </si>
  <si>
    <t xml:space="preserve">P06</t>
  </si>
  <si>
    <t xml:space="preserve">Regulator — Handle + Lock nut</t>
  </si>
  <si>
    <t xml:space="preserve">ตั้งค่าแรงดัน · Lock nut กันค่าตั้งเคลื่อน</t>
  </si>
  <si>
    <t xml:space="preserve">Lock nut แน่น · เกจชี้ค่าตั้ง (แถบเขียว) [DATA REQUIRED]</t>
  </si>
  <si>
    <t xml:space="preserve">PDF p.39, p.49</t>
  </si>
  <si>
    <t xml:space="preserve">P07</t>
  </si>
  <si>
    <t xml:space="preserve">Regulator — Diaphragm · Spring · Packing</t>
  </si>
  <si>
    <t xml:space="preserve">รักษาแรงดันขาออกคงที่</t>
  </si>
  <si>
    <t xml:space="preserve">ไม่เสียหาย ไม่สนิม/ล้า/หัก</t>
  </si>
  <si>
    <t xml:space="preserve">PDF p.39, p.46</t>
  </si>
  <si>
    <t xml:space="preserve">P08</t>
  </si>
  <si>
    <t xml:space="preserve">Pressure gauge (FRL)</t>
  </si>
  <si>
    <t xml:space="preserve">ยืนยันค่าแรงดันที่ตั้ง</t>
  </si>
  <si>
    <t xml:space="preserve">ในช่วงใช้งานปกติ · ปล่อยแรงดันแล้วชี้ 0</t>
  </si>
  <si>
    <t xml:space="preserve">PDF p.39, p.44–46</t>
  </si>
  <si>
    <t xml:space="preserve">P09</t>
  </si>
  <si>
    <t xml:space="preserve">Lubricator — น้ำมันในถ้วย</t>
  </si>
  <si>
    <t xml:space="preserve">แหล่งน้ำมันหล่อลื่นวาล์วและกระบอกสูบ</t>
  </si>
  <si>
    <t xml:space="preserve">น้ำมันใส · ระดับพอ · เติมสัปดาห์ละครั้ง</t>
  </si>
  <si>
    <t xml:space="preserve">PDF p.40, p.43–44, p.49</t>
  </si>
  <si>
    <t xml:space="preserve">P10</t>
  </si>
  <si>
    <t xml:space="preserve">Lubricator — Drop adjust screw · Sight dome</t>
  </si>
  <si>
    <t xml:space="preserve">ตั้งปริมาณหยดน้ำมัน</t>
  </si>
  <si>
    <t xml:space="preserve">2–6 หยด/นาที ขณะเครื่องเดิน (หรือค่าที่ฝ่ายซ่อมกำหนด)</t>
  </si>
  <si>
    <t xml:space="preserve">PDF p.40, p.49</t>
  </si>
  <si>
    <t xml:space="preserve">P11</t>
  </si>
  <si>
    <t xml:space="preserve">Lubricator — Oil cap</t>
  </si>
  <si>
    <t xml:space="preserve">ปิดช่องเติมน้ำมัน</t>
  </si>
  <si>
    <t xml:space="preserve">เปิดเฉพาะเมื่อไม่มีแรงดันค้าง</t>
  </si>
  <si>
    <t xml:space="preserve">PDF p.40</t>
  </si>
  <si>
    <t xml:space="preserve">③ วาล์วควบคุม (Control valves)</t>
  </si>
  <si>
    <t xml:space="preserve">P12</t>
  </si>
  <si>
    <t xml:space="preserve">Solenoid valve — Coil · Magnet core</t>
  </si>
  <si>
    <t xml:space="preserve">ดูด Core เลื่อน Spool</t>
  </si>
  <si>
    <t xml:space="preserve">ฉนวนดี · Core สมบูรณ์ ไม่สนิม</t>
  </si>
  <si>
    <t xml:space="preserve">M6</t>
  </si>
  <si>
    <t xml:space="preserve">PDF p.46</t>
  </si>
  <si>
    <t xml:space="preserve">P13</t>
  </si>
  <si>
    <t xml:space="preserve">Solenoid valve — Spool · Valve seat · Spring · O-ring</t>
  </si>
  <si>
    <t xml:space="preserve">เปลี่ยนทิศทางลม</t>
  </si>
  <si>
    <t xml:space="preserve">สลับราบรื่น · ไม่รั่วที่ Exhaust port</t>
  </si>
  <si>
    <t xml:space="preserve">PDF p.43, p.45–46</t>
  </si>
  <si>
    <t xml:space="preserve">P14</t>
  </si>
  <si>
    <t xml:space="preserve">Exhaust port · Silencer</t>
  </si>
  <si>
    <t xml:space="preserve">ทางลมระบาย · จุดดูละอองน้ำมัน</t>
  </si>
  <si>
    <t xml:space="preserve">ละอองน้ำมันพอดี · ไม่มีลมรั่วต่อเนื่อง</t>
  </si>
  <si>
    <t xml:space="preserve">PDF p.40, p.42, p.45</t>
  </si>
  <si>
    <t xml:space="preserve">P15</t>
  </si>
  <si>
    <t xml:space="preserve">Speed controller — Needle valve · Seat packing</t>
  </si>
  <si>
    <t xml:space="preserve">ปรับความเร็วกระบอกสูบ</t>
  </si>
  <si>
    <t xml:space="preserve">ความเร็วเหมือนทุกครั้ง · ปรับแล้วเปลี่ยนตาม</t>
  </si>
  <si>
    <t xml:space="preserve">PDF p.44–46</t>
  </si>
  <si>
    <t xml:space="preserve">P16</t>
  </si>
  <si>
    <t xml:space="preserve">Relief valve (Safety valve)</t>
  </si>
  <si>
    <t xml:space="preserve">ระบายแรงดันเกิน</t>
  </si>
  <si>
    <t xml:space="preserve">Valve seat ไม่บาก · Diaphragm · สปริงดี</t>
  </si>
  <si>
    <t xml:space="preserve">PDF p.37, p.46</t>
  </si>
  <si>
    <t xml:space="preserve">④ กระบอกสูบลม (Actuator)</t>
  </si>
  <si>
    <t xml:space="preserve">P17</t>
  </si>
  <si>
    <t xml:space="preserve">Air cylinder — Tube · Piston · Packing</t>
  </si>
  <si>
    <t xml:space="preserve">เปลี่ยนแรงดันลมเป็นการเคลื่อนที่</t>
  </si>
  <si>
    <t xml:space="preserve">เคลื่อนที่ราบรื่น ความเร็วปกติ</t>
  </si>
  <si>
    <t xml:space="preserve">PDF p.43, p.46</t>
  </si>
  <si>
    <t xml:space="preserve">P18</t>
  </si>
  <si>
    <t xml:space="preserve">Air cylinder — Rod seal</t>
  </si>
  <si>
    <t xml:space="preserve">กันลมรั่วที่ก้านสูบ</t>
  </si>
  <si>
    <t xml:space="preserve">ไม่มีลมรั่วที่ก้านสูบ</t>
  </si>
  <si>
    <t xml:space="preserve">PDF p.43, p.45</t>
  </si>
  <si>
    <t xml:space="preserve">⑤ สายลม + การรัด (Air tube)</t>
  </si>
  <si>
    <t xml:space="preserve">P19</t>
  </si>
  <si>
    <t xml:space="preserve">Air tube (สายลม)</t>
  </si>
  <si>
    <t xml:space="preserve">ส่งลมระหว่างอุปกรณ์</t>
  </si>
  <si>
    <t xml:space="preserve">สายกลม ไม่บุบ ไม่มีรอยสึก</t>
  </si>
  <si>
    <t xml:space="preserve">PDF p.47</t>
  </si>
  <si>
    <t xml:space="preserve">P20</t>
  </si>
  <si>
    <t xml:space="preserve">Binder · Lock band</t>
  </si>
  <si>
    <t xml:space="preserve">รัดสายให้เป็นระเบียบ กันเสียดสี</t>
  </si>
  <si>
    <t xml:space="preserve">รัดเผื่อระยะ · Band ตรงขนาดและจำนวนสาย · ไม่ใช้ของทดแทน</t>
  </si>
  <si>
    <t xml:space="preserve">Step 2 · FMEA Risk Assessment (AIAG 4th) + Step 3A Critical selection — ระบบลม</t>
  </si>
  <si>
    <t xml:space="preserve">BD = Breakdown · DF = Defect · MS = Minor stop/ความสูญเสีย · SF = Safety · RPN, Risk level และคอลัมน์สุดท้ายเป็นสูตร — แก้ S/O/D แล้วจัดลำดับใหม่ทันที · O ยังไม่มีประวัติเสีย [INFER]</t>
  </si>
  <si>
    <t xml:space="preserve">Part</t>
  </si>
  <si>
    <t xml:space="preserve">Failure mode</t>
  </si>
  <si>
    <t xml:space="preserve">Failure effect (BD/DF/MS/SF)</t>
  </si>
  <si>
    <t xml:space="preserve">Failure cause (CILT gap)</t>
  </si>
  <si>
    <t xml:space="preserve">Stress / Strength</t>
  </si>
  <si>
    <t xml:space="preserve">S</t>
  </si>
  <si>
    <t xml:space="preserve">เหตุผล S</t>
  </si>
  <si>
    <t xml:space="preserve">O</t>
  </si>
  <si>
    <t xml:space="preserve">เหตุผล O</t>
  </si>
  <si>
    <t xml:space="preserve">D</t>
  </si>
  <si>
    <t xml:space="preserve">เหตุผล D</t>
  </si>
  <si>
    <t xml:space="preserve">RPN</t>
  </si>
  <si>
    <t xml:space="preserve">อยู่ใน AM Standard</t>
  </si>
  <si>
    <t xml:space="preserve">ลมรั่ว</t>
  </si>
  <si>
    <t xml:space="preserve">MS: แรงดันตก สูญเสียลมอัด [INFER]</t>
  </si>
  <si>
    <t xml:space="preserve">ขาด I + ขาด T</t>
  </si>
  <si>
    <t xml:space="preserve">Strength ลด (ซีล/เกลียวเสื่อม)</t>
  </si>
  <si>
    <t xml:space="preserve">S5 = หน้าที่รองลดลง</t>
  </si>
  <si>
    <t xml:space="preserve">O6 ต้นฉบับ: ส่วนใหญ่ไม่มีผู้ดูแลระบบลมโดยเฉพาะ (p.44) [INFER]</t>
  </si>
  <si>
    <t xml:space="preserve">D8 = ตรวจได้ยาก ต้องถอด/มองไม่เห็น — ลมรั่วมองไม่เห็น ต้องฟัง</t>
  </si>
  <si>
    <t xml:space="preserve">หลวม → ท่อสั่น</t>
  </si>
  <si>
    <t xml:space="preserve">MS/BD: รอยต่อรั่ว/แตก (สั่นผิดปกติ = มีปัญหา p.44)</t>
  </si>
  <si>
    <t xml:space="preserve">ขาด T</t>
  </si>
  <si>
    <t xml:space="preserve">Strength ลด (คลายจากแรงสั่น)</t>
  </si>
  <si>
    <t xml:space="preserve">S6 = สูญเสียหน้าที่รอง</t>
  </si>
  <si>
    <t xml:space="preserve">O5 [INFER]</t>
  </si>
  <si>
    <t xml:space="preserve">D7 = Operator ตรวจในสถานี (ตา/หู/สัมผัส)</t>
  </si>
  <si>
    <t xml:space="preserve">น้ำขังเต็มถ้วย / Auto drain ไม่ทำงาน</t>
  </si>
  <si>
    <t xml:space="preserve">DF/BD: น้ำไปวาล์ว-กระบอกสูบ ทำงานผิด สนิม ลมรั่ว (p.41–42)</t>
  </si>
  <si>
    <t xml:space="preserve">ขาด C (ไม่ระบาย Drain)</t>
  </si>
  <si>
    <t xml:space="preserve">Stress เพิ่ม (น้ำ/สนิม)</t>
  </si>
  <si>
    <t xml:space="preserve">S7 = หน้าที่หลักลดลง</t>
  </si>
  <si>
    <t xml:space="preserve">O7 ต้นฉบับ: กลางคืนอุณหภูมิลดเกิดน้ำทุกวัน (p.44)</t>
  </si>
  <si>
    <t xml:space="preserve">D7 = Operator ตรวจในสถานี (ตา/หู/สัมผัส) (ถ้วยใส)</t>
  </si>
  <si>
    <t xml:space="preserve">แตกร้าว · หลุดเมื่อถอดขณะมีแรงดัน</t>
  </si>
  <si>
    <t xml:space="preserve">SF: ถ้วยหลุดกระเด็น (p.38)</t>
  </si>
  <si>
    <t xml:space="preserve">ขาด I + ใช้งานผิดวิธี (ถอดขณะมีแรงดัน)</t>
  </si>
  <si>
    <t xml:space="preserve">Strength ลด</t>
  </si>
  <si>
    <t xml:space="preserve">S9 = อันตราย มีสัญญาณเตือน (เห็นรอยร้าว/เกจมีแรงดัน)</t>
  </si>
  <si>
    <t xml:space="preserve">O3 [INFER]</t>
  </si>
  <si>
    <t xml:space="preserve">ตัน</t>
  </si>
  <si>
    <t xml:space="preserve">DF: แรงดัน/อัตราไหลไม่พอ · เข็มเกจแกว่ง (p.49)</t>
  </si>
  <si>
    <t xml:space="preserve">ขาด C + ขาด I</t>
  </si>
  <si>
    <t xml:space="preserve">Stress เพิ่ม (แรงต้าน)</t>
  </si>
  <si>
    <t xml:space="preserve">D6 = ตรวจด้วยเครื่องมือวัด (เกจ/นาฬิกา) (เข็มเกจ)</t>
  </si>
  <si>
    <t xml:space="preserve">Lock nut หลวม → Handle หมุนเอง ค่าตั้งเคลื่อน</t>
  </si>
  <si>
    <t xml:space="preserve">DF: แรงกระบอกสูบไม่ตรง [INFER]</t>
  </si>
  <si>
    <t xml:space="preserve">Strength ลด (แรงสั่นของเครื่อง p.39)</t>
  </si>
  <si>
    <t xml:space="preserve">O6 ต้นฉบับ: แรงสั่นทำให้ Handle หมุนเอง (p.39)</t>
  </si>
  <si>
    <t xml:space="preserve">Diaphragm เสียหาย · สปริงสนิม/ล้า/หัก · Packing บาก</t>
  </si>
  <si>
    <t xml:space="preserve">DF: คุมแรงดันไม่ได้</t>
  </si>
  <si>
    <t xml:space="preserve">ขาด I (ถอดตรวจ 1 ปี)</t>
  </si>
  <si>
    <t xml:space="preserve">Strength ลด (เสื่อมตามอายุ)</t>
  </si>
  <si>
    <t xml:space="preserve">D8 = ตรวจได้ยาก ต้องถอด/มองไม่เห็น (ภายใน)</t>
  </si>
  <si>
    <t xml:space="preserve">เพี้ยน · กระจกแตก · เข็มผิดปกติ</t>
  </si>
  <si>
    <t xml:space="preserve">DF: อ่านค่าผิด</t>
  </si>
  <si>
    <t xml:space="preserve">ขาด I</t>
  </si>
  <si>
    <t xml:space="preserve">S6 = สูญเสียหน้าที่รอง (การเฝ้าดู)</t>
  </si>
  <si>
    <t xml:space="preserve">O4 [INFER]</t>
  </si>
  <si>
    <t xml:space="preserve">น้ำมันหมด · ขุ่นขาว (น้ำปน)</t>
  </si>
  <si>
    <t xml:space="preserve">DF/BD: หล่อลื่นไม่พอ → ไม่นิ่ง แรงไม่พอ ซีลสึก ลมรั่ว สนิม (p.43)</t>
  </si>
  <si>
    <t xml:space="preserve">ขาด L (ไม่เติมตามรอบ) + ขาด C (Drain → น้ำปน)</t>
  </si>
  <si>
    <t xml:space="preserve">Stress เพิ่ม (แรงเสียดทาน)</t>
  </si>
  <si>
    <t xml:space="preserve">O6 [INFER] ไม่มีผู้ดูแลระบบลมโดยเฉพาะ (p.44)</t>
  </si>
  <si>
    <t xml:space="preserve">ไม่หยด · นอก 2–6 หยด/นาที</t>
  </si>
  <si>
    <t xml:space="preserve">DF: น้ำมันไปไม่ทั่ว/มากเกิน (p.45, p.49)</t>
  </si>
  <si>
    <t xml:space="preserve">ไม่ใช้งานตามเงื่อนไข (ปรับเอง) + ขาด I</t>
  </si>
  <si>
    <t xml:space="preserve">Stress เพิ่ม</t>
  </si>
  <si>
    <t xml:space="preserve">D7 = Operator ตรวจในสถานี (ตา/หู/สัมผัส) (นับหยด 1 นาที)</t>
  </si>
  <si>
    <t xml:space="preserve">เปิดขณะมีแรงดัน → น้ำมันพุ่ง (แบบ Selective)</t>
  </si>
  <si>
    <t xml:space="preserve">SF: น้ำมันพุ่งใส่ผู้ปฏิบัติงาน</t>
  </si>
  <si>
    <t xml:space="preserve">ใช้งานผิดวิธี (ไม่ปล่อยลมค้าง)</t>
  </si>
  <si>
    <t xml:space="preserve">Stress เพิ่ม (แรงดันค้าง)</t>
  </si>
  <si>
    <t xml:space="preserve">S9 = อันตราย มีสัญญาณเตือน (เกจแสดงแรงดัน)</t>
  </si>
  <si>
    <t xml:space="preserve">ฉนวน Coil เสื่อม · Core สนิม</t>
  </si>
  <si>
    <t xml:space="preserve">BD: วาล์วไม่สลับ เครื่องหยุด</t>
  </si>
  <si>
    <t xml:space="preserve">S8 = สูญเสียหน้าที่หลัก (BD)</t>
  </si>
  <si>
    <t xml:space="preserve">D9 = แทบตรวจไม่ได้ในงานประจำ (ถอดตรวจ 1 ปี)</t>
  </si>
  <si>
    <t xml:space="preserve">Spool บาก/สึก · Seat มีฝุ่น/บาก · สปริงหัก/สนิม · O-ring แข็ง</t>
  </si>
  <si>
    <t xml:space="preserve">BD/DF: สลับไม่ดี ทำงานผิด ลมรั่ว (p.42–43)</t>
  </si>
  <si>
    <t xml:space="preserve">ขาด L + ขาด C (น้ำ/สนิมจากท่อ)</t>
  </si>
  <si>
    <t xml:space="preserve">Strength ลด + Stress เพิ่ม</t>
  </si>
  <si>
    <t xml:space="preserve">ละอองน้ำมันน้อย/มาก · ลมรั่ว</t>
  </si>
  <si>
    <t xml:space="preserve">DF: บอกหล่อลื่นผิดปกติ/วาล์วรั่ว · ไอน้ำมันออกสู่บรรยากาศ (p.42)</t>
  </si>
  <si>
    <t xml:space="preserve">Needle บาก · Seat packing เสียหาย</t>
  </si>
  <si>
    <t xml:space="preserve">DF: ความเร็วเปลี่ยน/ปรับไม่ได้</t>
  </si>
  <si>
    <t xml:space="preserve">S6 = สูญเสียหน้าที่รอง (ความเร็ว)</t>
  </si>
  <si>
    <t xml:space="preserve">D6 = ตรวจด้วยเครื่องมือวัด (เกจ/นาฬิกา) (นาฬิกาจับเวลา)</t>
  </si>
  <si>
    <t xml:space="preserve">Valve seat บาก · Diaphragm เสีย · สปริงสนิม/หัก</t>
  </si>
  <si>
    <t xml:space="preserve">BD: ป้องกันแรงดันเกินไม่ได้ [INFER]</t>
  </si>
  <si>
    <t xml:space="preserve">ผิวใน Tube บาก/เสียรูป · Packing สึก</t>
  </si>
  <si>
    <t xml:space="preserve">DF/BD: ไม่นิ่ง แรงไม่พอ (p.43)</t>
  </si>
  <si>
    <t xml:space="preserve">ขาด L + น้ำ/สนิมจากท่อ (p.42)</t>
  </si>
  <si>
    <t xml:space="preserve">D7 = Operator ตรวจในสถานี (ตา/หู/สัมผัส) (ความเร็ว)</t>
  </si>
  <si>
    <t xml:space="preserve">ลมรั่วที่ก้านสูบ</t>
  </si>
  <si>
    <t xml:space="preserve">DF: แรงตก (p.43)</t>
  </si>
  <si>
    <t xml:space="preserve">ขาด L + ขาด I</t>
  </si>
  <si>
    <t xml:space="preserve">D8 = ตรวจได้ยาก ต้องถอด/มองไม่เห็น — ลมรั่วมองไม่เห็น</t>
  </si>
  <si>
    <t xml:space="preserve">บุบ/แบน · สึกจากเสียดสี</t>
  </si>
  <si>
    <t xml:space="preserve">DF: แรงดันและอัตราไหลไม่พอ (p.47)</t>
  </si>
  <si>
    <t xml:space="preserve">ซ่อมผิดวิธี (รัดแน่นเกิน) + ไม่รัด (เสียดสี)</t>
  </si>
  <si>
    <t xml:space="preserve">รัดแน่นเกิน · Band ผิดขนาด/เกินจำนวน · ของทดแทน</t>
  </si>
  <si>
    <t xml:space="preserve">DF: สายบุบ → แรงดันไม่พอ</t>
  </si>
  <si>
    <t xml:space="preserve">ซ่อมผิดวิธี</t>
  </si>
  <si>
    <t xml:space="preserve">Stress เพิ่ม (แรงบีบ)</t>
  </si>
  <si>
    <t xml:space="preserve">CRITICAL</t>
  </si>
  <si>
    <t xml:space="preserve">HIGH</t>
  </si>
  <si>
    <t xml:space="preserve">MEDIUM</t>
  </si>
  <si>
    <t xml:space="preserve">LOW</t>
  </si>
  <si>
    <t xml:space="preserve">ไม่อยู่ใน Standard</t>
  </si>
  <si>
    <t xml:space="preserve">Step 4 · AM Standard (CILT) — ระบบลม</t>
  </si>
  <si>
    <t xml:space="preserve">เวลา = ประมาณการ [INFER] ให้จับเวลาจริง · Risk level ดึงจากชีท FMEA ด้วยสูตร · D = ทุกวัน · W = รายสัปดาห์ · 3M / 6M / 1Y = ตามรอบ · ข้อใน AM Check Sheet: D = Daily_Check · W = Weekly_Check · P = Periodic_Check</t>
  </si>
  <si>
    <t xml:space="preserve">No.</t>
  </si>
  <si>
    <t xml:space="preserve">Part ID</t>
  </si>
  <si>
    <t xml:space="preserve">ระบบ / จุดตรวจ (Check point)</t>
  </si>
  <si>
    <t xml:space="preserve">วิธีทำ (1-2-3)</t>
  </si>
  <si>
    <t xml:space="preserve">✓ ปกติ (Normal)</t>
  </si>
  <si>
    <t xml:space="preserve">✗ ผิดปกติ → ทำอะไร</t>
  </si>
  <si>
    <t xml:space="preserve">ความถี่</t>
  </si>
  <si>
    <t xml:space="preserve">เวลา (นาที)</t>
  </si>
  <si>
    <t xml:space="preserve">Kaizen / Visual control</t>
  </si>
  <si>
    <t xml:space="preserve">ผลถ้าละเลย (Neglect)</t>
  </si>
  <si>
    <t xml:space="preserve">ผู้รับผิดชอบ</t>
  </si>
  <si>
    <t xml:space="preserve">ข้อใน AM Check Sheet</t>
  </si>
  <si>
    <t xml:space="preserve">ท่อลมสั่น · หน้าแปลน · โบลต์ · ที่ยึดท่อ</t>
  </si>
  <si>
    <t xml:space="preserve">I/T</t>
  </si>
  <si>
    <t xml:space="preserve">1. ดูท่อลมขณะเครื่องเดิน
2. ดู Match mark ที่หน้าแปลน/โบลต์/ที่ยึดท่อ</t>
  </si>
  <si>
    <t xml:space="preserve">ไม่สั่นผิดปกติ · ไม่หลวม</t>
  </si>
  <si>
    <t xml:space="preserve">สั่น/หลวม → แจ้งช่างซ่อมบำรุงทันที</t>
  </si>
  <si>
    <t xml:space="preserve">D · ขณะเดิน</t>
  </si>
  <si>
    <t xml:space="preserve">Match mark บนโบลต์หน้าแปลน/ที่ยึด *</t>
  </si>
  <si>
    <t xml:space="preserve">รอยต่อรั่ว/แตก</t>
  </si>
  <si>
    <t xml:space="preserve">Operator</t>
  </si>
  <si>
    <t xml:space="preserve">D6, D10</t>
  </si>
  <si>
    <t xml:space="preserve">ลมรั่ว: ระบบท่อ (Table 2)</t>
  </si>
  <si>
    <t xml:space="preserve">I</t>
  </si>
  <si>
    <t xml:space="preserve">1. ช่วงไลน์หยุด เปิดลมค้างไว้
2. ฟัง/ฉีดน้ำสบู่ที่ข้อต่อเชื่อม · เกลียว · หน้าแปลน · Stop valve · สายยาง
3. ติด F-tag จุดรั่ว</t>
  </si>
  <si>
    <t xml:space="preserve">ไม่รั่วทุกจุด</t>
  </si>
  <si>
    <t xml:space="preserve">รั่ว → ติด F-tag แจ้งช่าง *</t>
  </si>
  <si>
    <t xml:space="preserve">3M</t>
  </si>
  <si>
    <t xml:space="preserve">แผนที่จุดตรวจลมรั่วติดหมายเลข *</t>
  </si>
  <si>
    <t xml:space="preserve">แรงดันตก สูญเสียลมอัด</t>
  </si>
  <si>
    <t xml:space="preserve">Operator / PM *</t>
  </si>
  <si>
    <t xml:space="preserve">P7</t>
  </si>
  <si>
    <t xml:space="preserve">PDF p.45</t>
  </si>
  <si>
    <t xml:space="preserve">Drain ที่ Air filter</t>
  </si>
  <si>
    <t xml:space="preserve">C</t>
  </si>
  <si>
    <t xml:space="preserve">1. ต้นกะแรก *
2. ดูระดับน้ำในถ้วย
3. มีน้ำ → เปิดวาล์ว Drain (Manual) จนหมด แล้วปิด</t>
  </si>
  <si>
    <t xml:space="preserve">ไม่มีน้ำขังในถ้วย</t>
  </si>
  <si>
    <t xml:space="preserve">มีน้ำ → ระบาย · Auto drain ยังมีน้ำ → แจ้งช่าง เปลี่ยนชิ้นส่วน *</t>
  </si>
  <si>
    <t xml:space="preserve">D · ต้นกะ *</t>
  </si>
  <si>
    <t xml:space="preserve">ขีดระดับน้ำสูงสุดบนถ้วย *</t>
  </si>
  <si>
    <t xml:space="preserve">น้ำไปวาล์ว/กระบอกสูบ → ทำงานผิด สนิม ลมรั่ว</t>
  </si>
  <si>
    <t xml:space="preserve">D1</t>
  </si>
  <si>
    <t xml:space="preserve">PDF p.41–42, p.44, p.49</t>
  </si>
  <si>
    <t xml:space="preserve">ถ้วยกรอง / ถ้วยน้ำมัน: แตกร้าว</t>
  </si>
  <si>
    <t xml:space="preserve">1. ดูรอยร้าวรอบถ้วย
2. ห้ามถอดถ้วยขณะมีแรงดัน</t>
  </si>
  <si>
    <t xml:space="preserve">แตกร้าว → หยุดใช้ ปิดลม แจ้งช่าง *</t>
  </si>
  <si>
    <t xml:space="preserve">ฝาครอบถ้วย (Bowl guard) [AI-KB] *</t>
  </si>
  <si>
    <t xml:space="preserve">ถ้วยหลุดกระเด็น → บาดเจ็บ</t>
  </si>
  <si>
    <t xml:space="preserve">D4</t>
  </si>
  <si>
    <t xml:space="preserve">เข็มเกจ Regulator แกว่ง (ไส้กรองตัน)</t>
  </si>
  <si>
    <t xml:space="preserve">1. ดูเข็มเกจขณะเครื่องเดิน</t>
  </si>
  <si>
    <t xml:space="preserve">เข็มนิ่ง</t>
  </si>
  <si>
    <t xml:space="preserve">แกว่งมาก → เปลี่ยน Filter element (แจ้งช่าง *)</t>
  </si>
  <si>
    <t xml:space="preserve">—</t>
  </si>
  <si>
    <t xml:space="preserve">แรงดัน/อัตราไหลไม่พอ</t>
  </si>
  <si>
    <t xml:space="preserve">D8</t>
  </si>
  <si>
    <t xml:space="preserve">PDF p.49</t>
  </si>
  <si>
    <t xml:space="preserve">Regulator: Lock nut</t>
  </si>
  <si>
    <t xml:space="preserve">T</t>
  </si>
  <si>
    <t xml:space="preserve">1. ดู Match mark ที่ Lock nut
2. หลวม → ขันให้แน่น</t>
  </si>
  <si>
    <t xml:space="preserve">Lock nut แน่น · ค่าตั้งไม่เคลื่อน</t>
  </si>
  <si>
    <t xml:space="preserve">หลวม → ขันแน่น · ค่าตั้งเคลื่อนแล้ว → แจ้งช่างตั้งใหม่ *</t>
  </si>
  <si>
    <t xml:space="preserve">Match mark (I-mark) ที่ Lock nut *</t>
  </si>
  <si>
    <t xml:space="preserve">ค่าตั้งเคลื่อน → แรงกระบอกสูบไม่ตรง</t>
  </si>
  <si>
    <t xml:space="preserve">D2</t>
  </si>
  <si>
    <t xml:space="preserve">เกจแรงดัน: อยู่ในช่วงใช้งาน</t>
  </si>
  <si>
    <t xml:space="preserve">1. ดูเข็มเกจเทียบแถบเขียว</t>
  </si>
  <si>
    <t xml:space="preserve">อยู่ในแถบเขียว (ค่าตั้ง [DATA REQUIRED])</t>
  </si>
  <si>
    <t xml:space="preserve">นอกช่วง → แจ้งช่างซ่อมบำรุงทันที</t>
  </si>
  <si>
    <t xml:space="preserve">แถบเขียวที่ค่าตั้ง (p.39)</t>
  </si>
  <si>
    <t xml:space="preserve">แรงดันผิดโดยไม่รู้</t>
  </si>
  <si>
    <t xml:space="preserve">D7</t>
  </si>
  <si>
    <t xml:space="preserve">PDF p.39, p.44</t>
  </si>
  <si>
    <t xml:space="preserve">เกจ: กระจก · เข็ม · แถบเขียว</t>
  </si>
  <si>
    <t xml:space="preserve">1. ดูกระจกแตก เข็มผิดปกติ
2. ดูแถบเขียวชัด</t>
  </si>
  <si>
    <t xml:space="preserve">กระจกไม่แตก · เข็มปกติ · แถบชัด</t>
  </si>
  <si>
    <t xml:space="preserve">แตก/เข็มผิด → เปลี่ยนเกจ · ไม่มีแถบ → ทำแถบเขียว</t>
  </si>
  <si>
    <t xml:space="preserve">W *</t>
  </si>
  <si>
    <t xml:space="preserve">อ่านค่าผิด</t>
  </si>
  <si>
    <t xml:space="preserve">W7</t>
  </si>
  <si>
    <t xml:space="preserve">PDF p.39</t>
  </si>
  <si>
    <t xml:space="preserve">Lubricator: หยดน้ำมัน</t>
  </si>
  <si>
    <t xml:space="preserve">1. เครื่องเดิน
2. นับหยดใน Sight dome 1 นาที
3. บันทึกจำนวนหยด</t>
  </si>
  <si>
    <t xml:space="preserve">2–6 หยด/นาที (หรือค่าที่ฝ่ายซ่อมกำหนด)</t>
  </si>
  <si>
    <t xml:space="preserve">ไม่หยด → แจ้งช่าง * · นอก 2–6 → △ ปรึกษาฝ่ายซ่อมก่อนปรับ</t>
  </si>
  <si>
    <t xml:space="preserve">ป้าย “2–6 หยด/นาที” ข้าง Sight dome *</t>
  </si>
  <si>
    <t xml:space="preserve">หล่อลื่นไม่พอ → ไม่นิ่ง ซีลสึก ลมรั่ว สนิม</t>
  </si>
  <si>
    <t xml:space="preserve">D9</t>
  </si>
  <si>
    <t xml:space="preserve">Lubricator: น้ำมันขุ่นขาว</t>
  </si>
  <si>
    <t xml:space="preserve">1. ดูน้ำมันในถ้วย</t>
  </si>
  <si>
    <t xml:space="preserve">ใส ไม่ขุ่นขาว</t>
  </si>
  <si>
    <t xml:space="preserve">ขุ่นขาว (น้ำปน) → เปลี่ยนน้ำมันใหม่</t>
  </si>
  <si>
    <t xml:space="preserve">น้ำปนไปกับละอองน้ำมัน → สนิม</t>
  </si>
  <si>
    <t xml:space="preserve">D3</t>
  </si>
  <si>
    <t xml:space="preserve">Lubricator: เติมน้ำมัน</t>
  </si>
  <si>
    <t xml:space="preserve">L</t>
  </si>
  <si>
    <t xml:space="preserve">1. ปิดลมเข้า * แล้วปล่อยแรงดันค้าง
2. เปิด Oil cap
3. เติมถึงระดับ ปิดฝา จ่ายลม
4. เทียบปริมาณที่เติมกับรอบก่อน</t>
  </si>
  <si>
    <t xml:space="preserve">เติมถึงระดับ · ไม่มีน้ำมันพุ่ง · ลดตามปกติ</t>
  </si>
  <si>
    <t xml:space="preserve">ยังมีแรงดัน → หยุด ปล่อยลมก่อน · ลดเร็ว → หาจุดรั่วทันที</t>
  </si>
  <si>
    <t xml:space="preserve">W (เดินหนัก ทุก 3 วัน)</t>
  </si>
  <si>
    <t xml:space="preserve">ป้าย “ปล่อยลมก่อนเปิดฝา” ที่ Oil cap *</t>
  </si>
  <si>
    <t xml:space="preserve">น้ำมันพุ่งใส่ผู้ปฏิบัติงาน · หล่อลื่นขาด</t>
  </si>
  <si>
    <t xml:space="preserve">W1, W2</t>
  </si>
  <si>
    <t xml:space="preserve">PDF p.40, p.44</t>
  </si>
  <si>
    <t xml:space="preserve">Auto drain: ทำงาน</t>
  </si>
  <si>
    <t xml:space="preserve">1. ดูน้ำในถ้วยหลังเครื่องเดิน
2. ดูวาล์วระบายเปิด-ปิด</t>
  </si>
  <si>
    <t xml:space="preserve">ระบายน้ำได้เอง</t>
  </si>
  <si>
    <t xml:space="preserve">ไม่ระบาย → แจ้งช่าง เปลี่ยนชิ้นส่วน *</t>
  </si>
  <si>
    <t xml:space="preserve">น้ำขังโดยไม่รู้</t>
  </si>
  <si>
    <t xml:space="preserve">P1</t>
  </si>
  <si>
    <t xml:space="preserve">PDF p.45, p.49</t>
  </si>
  <si>
    <t xml:space="preserve">Regulator: ลองหมุนปรับแรงดัน</t>
  </si>
  <si>
    <t xml:space="preserve">I/A</t>
  </si>
  <si>
    <t xml:space="preserve">1. คลาย Lock nut
2. ขัน → แรงดันเพิ่ม · คลาย → ลด
3. ตั้งกลับค่าตั้ง + ขัน Lock nut</t>
  </si>
  <si>
    <t xml:space="preserve">เกจเปลี่ยนตาม Handle · ตั้งกลับได้</t>
  </si>
  <si>
    <t xml:space="preserve">ไม่เปลี่ยน → แจ้งช่าง *</t>
  </si>
  <si>
    <t xml:space="preserve">Regulator เสียโดยไม่รู้</t>
  </si>
  <si>
    <t xml:space="preserve">ผู้ได้รับมอบหมาย *</t>
  </si>
  <si>
    <t xml:space="preserve">P2</t>
  </si>
  <si>
    <t xml:space="preserve">PDF p.39, p.45</t>
  </si>
  <si>
    <t xml:space="preserve">เกจ: ปล่อยแรงดันแล้วชี้ 0</t>
  </si>
  <si>
    <t xml:space="preserve">1. ปิดลม ปล่อยแรงดันค้าง
2. ดูเข็ม</t>
  </si>
  <si>
    <t xml:space="preserve">ชี้ 0</t>
  </si>
  <si>
    <t xml:space="preserve">ไม่ชี้ 0 → เปลี่ยนเกจ *</t>
  </si>
  <si>
    <t xml:space="preserve">P3</t>
  </si>
  <si>
    <t xml:space="preserve">ถอดตรวจ FRL ภายใน: Case · Element · Diaphragm · สปริง · Packing · ความเที่ยงเกจ</t>
  </si>
  <si>
    <t xml:space="preserve">I/C</t>
  </si>
  <si>
    <t xml:space="preserve">1. ปิดลม + ปล่อยลมค้าง + LOTO *
2. ถอดตรวจตามรายการ p.46
3. Element โลหะ: ล้างน้ำมันก๊าด · อัลลอย: เปลี่ยนใหม่</t>
  </si>
  <si>
    <t xml:space="preserve">ไม่แตก · ไม่ตัน · ไม่เสียหาย · เกจไม่เพี้ยน</t>
  </si>
  <si>
    <t xml:space="preserve">เปลี่ยนชิ้นส่วน</t>
  </si>
  <si>
    <t xml:space="preserve">1Y</t>
  </si>
  <si>
    <t xml:space="preserve">คุมแรงดันไม่ได้ · ถ้วยแตก</t>
  </si>
  <si>
    <t xml:space="preserve">PM *</t>
  </si>
  <si>
    <t xml:space="preserve">P9, P10, P11</t>
  </si>
  <si>
    <t xml:space="preserve">ความเร็วการทำงาน (สลับทิศราบรื่น)</t>
  </si>
  <si>
    <t xml:space="preserve">1. จับเวลา 1 รอบ
2. เทียบเวลาปกติ</t>
  </si>
  <si>
    <t xml:space="preserve">เหมือนทุกครั้ง [DATA REQUIRED]</t>
  </si>
  <si>
    <t xml:space="preserve">ช้า/เร็วผิดปกติ → แจ้งช่างซ่อมบำรุงทันที</t>
  </si>
  <si>
    <t xml:space="preserve">ป้ายเวลารอบปกติที่เครื่อง *</t>
  </si>
  <si>
    <t xml:space="preserve">วาล์ว/กระบอกสูบผิดปกติโดยไม่รู้</t>
  </si>
  <si>
    <t xml:space="preserve">D5</t>
  </si>
  <si>
    <t xml:space="preserve">Exhaust port: ละอองน้ำมัน · ลมรั่ว</t>
  </si>
  <si>
    <t xml:space="preserve">1. ดูละอองน้ำมันที่ Exhaust port ขณะวาล์วสลับ
2. ฟังลมรั่วตอนวาล์วหยุด</t>
  </si>
  <si>
    <t xml:space="preserve">ละอองน้ำมันพอดี · ไม่รั่ว</t>
  </si>
  <si>
    <t xml:space="preserve">น้อย → ตรวจ Lubricator · มาก → ปรับลด · รั่ว → ดู Valve seat/สปริง</t>
  </si>
  <si>
    <t xml:space="preserve">หล่อลื่นผิดปกติ · วาล์วรั่ว</t>
  </si>
  <si>
    <t xml:space="preserve">P4</t>
  </si>
  <si>
    <t xml:space="preserve">Speed controller: ลองปรับความเร็ว</t>
  </si>
  <si>
    <t xml:space="preserve">1. ปรับ Needle
2. ดูความเร็วเปลี่ยนตาม
3. ตั้งกลับ</t>
  </si>
  <si>
    <t xml:space="preserve">ความเร็วเปลี่ยนตาม</t>
  </si>
  <si>
    <t xml:space="preserve">Match mark ที่ปุ่มปรับ *</t>
  </si>
  <si>
    <t xml:space="preserve">ความเร็วผิด</t>
  </si>
  <si>
    <t xml:space="preserve">P5</t>
  </si>
  <si>
    <t xml:space="preserve">ถอดตรวจ Solenoid valve: Coil · Core · Spool · O-ring</t>
  </si>
  <si>
    <t xml:space="preserve">1. ตัดไฟ + ปิดลม + LOTO *
2. วัดฉนวน Coil
3. ตรวจ Core · สปริง · Spool · O-ring · Cam lever</t>
  </si>
  <si>
    <t xml:space="preserve">ฉนวนดี · ไม่สนิม · ไม่บาก/สึก</t>
  </si>
  <si>
    <t xml:space="preserve">Coil ไหม้ · วาล์วค้าง → BD</t>
  </si>
  <si>
    <t xml:space="preserve">P13, P14</t>
  </si>
  <si>
    <t xml:space="preserve">ถอดตรวจ Relief valve · Speed controller</t>
  </si>
  <si>
    <t xml:space="preserve">1. ปิดลม + LOTO *
2. ตรวจ Valve seat · Diaphragm · สปริง · Needle · Seat packing</t>
  </si>
  <si>
    <t xml:space="preserve">ไม่บาก · ไม่เสียหาย</t>
  </si>
  <si>
    <t xml:space="preserve">ป้องกันแรงดันเกินไม่ได้</t>
  </si>
  <si>
    <t xml:space="preserve">P12, P15</t>
  </si>
  <si>
    <t xml:space="preserve">ลมรั่วที่ก้านสูบ · อุปกรณ์ (Table 2)</t>
  </si>
  <si>
    <t xml:space="preserve">1. ฟัง/ฉีดน้ำสบู่ที่ก้านสูบ · Case + Drain cock · Relief hole · ช่องเติมน้ำมัน · Exhaust port</t>
  </si>
  <si>
    <t xml:space="preserve">ไม่รั่ว</t>
  </si>
  <si>
    <t xml:space="preserve">แรงตก · สูญเสียลมอัด</t>
  </si>
  <si>
    <t xml:space="preserve">P6, P8</t>
  </si>
  <si>
    <t xml:space="preserve">ถอดตรวจกระบอกสูบ: Tube · O-ring · Packing</t>
  </si>
  <si>
    <t xml:space="preserve">1. ปิดลม + LOTO *
2. ตรวจผิวใน Tube · O-ring · Packing</t>
  </si>
  <si>
    <t xml:space="preserve">ไม่บาก ไม่เสียรูป ไม่สึก</t>
  </si>
  <si>
    <t xml:space="preserve">ไม่นิ่ง แรงไม่พอ</t>
  </si>
  <si>
    <t xml:space="preserve">สายลมที่จุดรัด: บุบ · เสียดสี</t>
  </si>
  <si>
    <t xml:space="preserve">1. ดูสายที่จุดรัดทุกจุด
2. ดูรอยสึกที่สายสัมผัสขอบโครง</t>
  </si>
  <si>
    <t xml:space="preserve">สายกลม · ไม่มีรอยสึก</t>
  </si>
  <si>
    <t xml:space="preserve">บุบ/สึก → แจ้งหัวหน้างาน รัดใหม่ *</t>
  </si>
  <si>
    <t xml:space="preserve">แรงดันและอัตราไหลไม่พอ</t>
  </si>
  <si>
    <t xml:space="preserve">W4, W6</t>
  </si>
  <si>
    <t xml:space="preserve">T/I</t>
  </si>
  <si>
    <t xml:space="preserve">1. ดูรัดเผื่อระยะ
2. ดู Band ตรงขนาดและจำนวนสาย ไม่ใช่ของทดแทน</t>
  </si>
  <si>
    <t xml:space="preserve">เผื่อระยะ · Band ตรง</t>
  </si>
  <si>
    <t xml:space="preserve">ไม่ตรง → แจ้งหัวหน้างาน เปลี่ยน Band *</t>
  </si>
  <si>
    <t xml:space="preserve">ป้ายขนาด/จำนวนสายบน Band *</t>
  </si>
  <si>
    <t xml:space="preserve">สายบุบ</t>
  </si>
  <si>
    <t xml:space="preserve">W5</t>
  </si>
  <si>
    <t xml:space="preserve">เวลา AM รายวันรวม (นาที) · เป้า Step 3: &lt; 10 นาที/กะ</t>
  </si>
  <si>
    <t xml:space="preserve">เวลา AM รายสัปดาห์รวม (นาที)</t>
  </si>
  <si>
    <t xml:space="preserve">AM Calendar — ระบบลม · ปี ……</t>
  </si>
  <si>
    <t xml:space="preserve">D = ทุกวัน · W = รายสัปดาห์ · Q = ทุก 3 เดือน (มี.ค. มิ.ย. ก.ย. ธ.ค. *) · S = ทุก 6 เดือน (มิ.ย. ธ.ค. *) · A = ทุก 1 ปี (ธ.ค. *) · เดือนที่ตรวจตามรอบเป็นข้อเสนอ ให้วางตามแผนหยุดเครื่อง</t>
  </si>
  <si>
    <t xml:space="preserve">กิจกรรม (CILT)</t>
  </si>
  <si>
    <t xml:space="preserve">Risk</t>
  </si>
  <si>
    <t xml:space="preserve">ม.ค.</t>
  </si>
  <si>
    <t xml:space="preserve">ก.พ.</t>
  </si>
  <si>
    <t xml:space="preserve">มี.ค.</t>
  </si>
  <si>
    <t xml:space="preserve">เม.ย.</t>
  </si>
  <si>
    <t xml:space="preserve">พ.ค.</t>
  </si>
  <si>
    <t xml:space="preserve">มิ.ย.</t>
  </si>
  <si>
    <t xml:space="preserve">ก.ค.</t>
  </si>
  <si>
    <t xml:space="preserve">ส.ค.</t>
  </si>
  <si>
    <t xml:space="preserve">ก.ย.</t>
  </si>
  <si>
    <t xml:space="preserve">ต.ค.</t>
  </si>
  <si>
    <t xml:space="preserve">พ.ย.</t>
  </si>
  <si>
    <t xml:space="preserve">ธ.ค.</t>
  </si>
  <si>
    <t xml:space="preserve">Q</t>
  </si>
  <si>
    <t xml:space="preserve">W</t>
  </si>
  <si>
    <t xml:space="preserve">A</t>
  </si>
  <si>
    <t xml:space="preserve">ทุกวัน (Daily)</t>
  </si>
  <si>
    <t xml:space="preserve">รายสัปดาห์ (Weekly)</t>
  </si>
  <si>
    <t xml:space="preserve">ทุก 3 เดือน</t>
  </si>
  <si>
    <t xml:space="preserve">ทุก 6 เดือน</t>
  </si>
  <si>
    <t xml:space="preserve">ทุก 1 ปี (Annual)</t>
  </si>
  <si>
    <r>
      <rPr>
        <b val="true"/>
        <sz val="15"/>
        <color rgb="FFFFFFFF"/>
        <rFont val="Tahoma"/>
        <family val="0"/>
        <charset val="1"/>
      </rPr>
      <t xml:space="preserve">Step 3B · Kaizen &amp; IoT CBM — ระบบลม (</t>
    </r>
    <r>
      <rPr>
        <b val="true"/>
        <sz val="15"/>
        <color rgb="FFFFFFFF"/>
        <rFont val="WenQuanYi Zen Hei"/>
        <family val="2"/>
      </rPr>
      <t xml:space="preserve">からくりカイゼン </t>
    </r>
    <r>
      <rPr>
        <b val="true"/>
        <sz val="15"/>
        <color rgb="FFFFFFFF"/>
        <rFont val="Tahoma"/>
        <family val="0"/>
        <charset val="1"/>
      </rPr>
      <t xml:space="preserve">= Karakuri Kaizen · </t>
    </r>
    <r>
      <rPr>
        <b val="true"/>
        <sz val="15"/>
        <color rgb="FFFFFFFF"/>
        <rFont val="WenQuanYi Zen Hei"/>
        <family val="2"/>
      </rPr>
      <t xml:space="preserve">目で見る管理 </t>
    </r>
    <r>
      <rPr>
        <b val="true"/>
        <sz val="15"/>
        <color rgb="FFFFFFFF"/>
        <rFont val="Tahoma"/>
        <family val="0"/>
        <charset val="1"/>
      </rPr>
      <t xml:space="preserve">= Visual control)</t>
    </r>
  </si>
  <si>
    <t xml:space="preserve">เงื่อนไข: เป็น HTA (Hard to Access) หรือ SOC (Source of Contamination) และใช้เวลาตรวจ &gt; 2 นาที · เวลาปัจจุบัน = ประมาณการ [INFER] ต้องจับเวลาจริงก่อนอนุมัติ · ราคา [AI-KB] ให้จัดซื้อยืนยัน</t>
  </si>
  <si>
    <t xml:space="preserve">จุดตรวจ / CILT</t>
  </si>
  <si>
    <t xml:space="preserve">ปัญหาปัจจุบัน (HTA / SOC · เวลา)</t>
  </si>
  <si>
    <t xml:space="preserve">ประเภท</t>
  </si>
  <si>
    <t xml:space="preserve">Idea</t>
  </si>
  <si>
    <t xml:space="preserve">ประโยชน์ที่คาด</t>
  </si>
  <si>
    <t xml:space="preserve">ค่าใช้จ่าย (บาท)</t>
  </si>
  <si>
    <t xml:space="preserve">เวลาที่ลดได้</t>
  </si>
  <si>
    <t xml:space="preserve">Priority</t>
  </si>
  <si>
    <t xml:space="preserve">P03 Drain ที่ Air filter (C)</t>
  </si>
  <si>
    <t xml:space="preserve">SOC: น้ำจากลมอัดทุกวัน · HTA: ถ้วยอยู่ต่ำ/หลังเครื่อง · ~1–2 นาที/ชุด/วัน × จำนวน FRL [DATA REQUIRED]</t>
  </si>
  <si>
    <t xml:space="preserve">Karakuri (Float)</t>
  </si>
  <si>
    <t xml:space="preserve">เปลี่ยนเป็น Auto drain แบบลูกลอย (ต้นฉบับมี Auto drain p.45, p.49) · ขีดระดับน้ำสูงสุดบนถ้วย</t>
  </si>
  <si>
    <t xml:space="preserve">ระบายเองตลอด · ตัดงานรายวัน เหลือตรวจ 3 เดือน</t>
  </si>
  <si>
    <t xml:space="preserve">~1,500–3,000/ชุด [AI-KB]</t>
  </si>
  <si>
    <t xml:space="preserve">~1–2 นาที/ชุด/วัน [INFER]</t>
  </si>
  <si>
    <t xml:space="preserve">PM</t>
  </si>
  <si>
    <t xml:space="preserve">PDF p.44–45, p.49</t>
  </si>
  <si>
    <t xml:space="preserve">P01/P18 ลมรั่ว Table 2 (I)</t>
  </si>
  <si>
    <t xml:space="preserve">HTA: ฟังลมรั่ว 10+ จุดในพื้นที่เสียงดัง ~15 นาที/รอบ [INFER]</t>
  </si>
  <si>
    <t xml:space="preserve">Visual control + เครื่องมือ</t>
  </si>
  <si>
    <t xml:space="preserve">แผนที่จุดตรวจลมรั่วติดหมายเลข + Leak tag · ใช้น้ำสบู่ หรือ Ultrasonic leak detector</t>
  </si>
  <si>
    <t xml:space="preserve">หาจุดรั่วเร็ว ไม่พลาดจุด · ลดลมอัดสูญเสีย</t>
  </si>
  <si>
    <t xml:space="preserve">น้ำสบู่ ~100 · Ultrasonic ~5,000–20,000 [AI-KB]</t>
  </si>
  <si>
    <t xml:space="preserve">~10 นาที/รอบ [INFER]</t>
  </si>
  <si>
    <t xml:space="preserve">Leader</t>
  </si>
  <si>
    <t xml:space="preserve">P06/P02 Lock nut · โบลต์ (T)</t>
  </si>
  <si>
    <t xml:space="preserve">HTA: ต้องลองขันทีละตัว ~2–3 นาที [INFER]</t>
  </si>
  <si>
    <t xml:space="preserve">Visual control</t>
  </si>
  <si>
    <t xml:space="preserve">Match mark (I-mark) ด้วย Paint marker ที่ Lock nut Regulator · หน้าแปลน · ที่ยึดท่อ</t>
  </si>
  <si>
    <t xml:space="preserve">ตรวจด้วยตาใน 0.5 นาที</t>
  </si>
  <si>
    <t xml:space="preserve">~100–300 [AI-KB]</t>
  </si>
  <si>
    <t xml:space="preserve">~2 นาที/วัน [INFER]</t>
  </si>
  <si>
    <t xml:space="preserve">PDF p.39, p.44, p.49</t>
  </si>
  <si>
    <t xml:space="preserve">Source: น้ำในลมอัดทั้งไลน์</t>
  </si>
  <si>
    <t xml:space="preserve">SOC: น้ำและสนิมจากท่อหลัก (Drain ทุกเครื่อง ทุกวัน)</t>
  </si>
  <si>
    <t xml:space="preserve">แก้ที่ต้นเหตุ (EEM/Utility)</t>
  </si>
  <si>
    <t xml:space="preserve">ติด Drain separator / Dehumidifier ที่ท่อหลัก (ต้นฉบับ p.36–37 จัดเป็นอุปกรณ์กรอง)</t>
  </si>
  <si>
    <t xml:space="preserve">น้ำเข้าเครื่องน้อยลง · Drain ห่างขึ้น · วาล์ว/กระบอกสูบสนิมน้อยลง</t>
  </si>
  <si>
    <t xml:space="preserve">[DATA REQUIRED] ตามขนาดท่อ</t>
  </si>
  <si>
    <t xml:space="preserve">[INFER] ขึ้นกับจำนวนเครื่อง</t>
  </si>
  <si>
    <t xml:space="preserve">Engineer / Utility</t>
  </si>
  <si>
    <t xml:space="preserve">PDF p.36–37, p.41–42</t>
  </si>
  <si>
    <t xml:space="preserve">Step 5 · Self-Verification</t>
  </si>
  <si>
    <t xml:space="preserve">ผล ✓ = ผ่าน · △ = ผ่านแบบมีเงื่อนไข (ต้องกรอกข้อมูลเครื่องจริง) · บางข้อคำนวณจากชีท FMEA</t>
  </si>
  <si>
    <t xml:space="preserve">V</t>
  </si>
  <si>
    <t xml:space="preserve">ตรวจอะไร</t>
  </si>
  <si>
    <t xml:space="preserve">ผล</t>
  </si>
  <si>
    <t xml:space="preserve">หมายเหตุ</t>
  </si>
  <si>
    <t xml:space="preserve">V1</t>
  </si>
  <si>
    <t xml:space="preserve">Part ทุกตัวมาจากเอกสาร (ไม่มี Part ที่แต่งขึ้น)</t>
  </si>
  <si>
    <t xml:space="preserve">△</t>
  </si>
  <si>
    <t xml:space="preserve">ทุก Part มาจาก PDF ต้นฉบับ (ชีท Breakdown คอลัมน์ที่มา) · ยังไม่มี Spare Part List → Part No. = [DATA REQUIRED]</t>
  </si>
  <si>
    <t xml:space="preserve">V2</t>
  </si>
  <si>
    <t xml:space="preserve">S / O / D ทุกตัวมีเหตุผลอ้างตาราง AIAG</t>
  </si>
  <si>
    <t xml:space="preserve">S และ D อ้างตาราง · O ยังไม่มีประวัติเสียของเครื่อง → ประเมินจากสาเหตุในต้นฉบับ [INFER] ให้ปรับด้วย BD record</t>
  </si>
  <si>
    <t xml:space="preserve">V3</t>
  </si>
  <si>
    <t xml:space="preserve">Part ที่ S = 9–10 เป็น CRITICAL ทุกตัว</t>
  </si>
  <si>
    <t xml:space="preserve">สูตรใน FMEA บังคับ S ≥ 9 → CRITICAL</t>
  </si>
  <si>
    <t xml:space="preserve">V4</t>
  </si>
  <si>
    <t xml:space="preserve">Kaizen ทุกรายการเป็น HTA/SOC และ &gt; 2 นาที</t>
  </si>
  <si>
    <t xml:space="preserve">ทุกรายการระบุ HTA/SOC · เวลาปัจจุบันเป็นประมาณการ → จับเวลาจริงก่อนอนุมัติ</t>
  </si>
  <si>
    <t xml:space="preserve">V5</t>
  </si>
  <si>
    <t xml:space="preserve">Module code (M1–M6) ครบทุก Part</t>
  </si>
  <si>
    <t xml:space="preserve">✓</t>
  </si>
  <si>
    <t xml:space="preserve">ชีท Breakdown คอลัมน์ Module</t>
  </si>
  <si>
    <t xml:space="preserve">V6</t>
  </si>
  <si>
    <t xml:space="preserve">Failure cause ทุกข้อ map กลับ CILT gap + Stress/Strength</t>
  </si>
  <si>
    <t xml:space="preserve">ชีท FMEA คอลัมน์ Failure cause และ Stress / Strength</t>
  </si>
  <si>
    <t xml:space="preserve">V7</t>
  </si>
  <si>
    <t xml:space="preserve">ไม่มี Spec / Part No. ที่แต่งขึ้น</t>
  </si>
  <si>
    <t xml:space="preserve">ค่าตั้ง · Torque · ชนิดน้ำมัน · Part No. = [DATA REQUIRED]</t>
  </si>
  <si>
    <t xml:space="preserve">V8</t>
  </si>
  <si>
    <t xml:space="preserve">Critical part ทุกตัวอยู่ใน AM Standard / AM Check Sheet</t>
  </si>
  <si>
    <t xml:space="preserve">สูตรนับ Critical ที่คอลัมน์ “อยู่ใน AM Standard” = ขาด · ข้อใน AM Check Sheet อยู่ในชีท AM_Standard</t>
  </si>
  <si>
    <t xml:space="preserve">V9</t>
  </si>
  <si>
    <t xml:space="preserve">Calendar สอดคล้องความถี่ใน AM Standard</t>
  </si>
  <si>
    <t xml:space="preserve">สร้างจากแถวเดียวกันของ AM_Standard</t>
  </si>
  <si>
    <t xml:space="preserve">V10</t>
  </si>
  <si>
    <t xml:space="preserve">Kaizen มีค่าใช้จ่ายและเวลาที่ลดได้ทุกรายการ</t>
  </si>
  <si>
    <t xml:space="preserve">ราคา [AI-KB] และเวลา [INFER] เป็นประมาณการ</t>
  </si>
  <si>
    <t xml:space="preserve">To Confirm — ประเด็นที่ต้องยืนยันก่อนใช้จริง</t>
  </si>
  <si>
    <t xml:space="preserve">ให้หัวหน้างาน / ฝ่ายซ่อมบำรุง / Safety ยืนยัน แล้วแก้ในชีทที่เกี่ยวข้อง</t>
  </si>
  <si>
    <t xml:space="preserve">ประเด็น</t>
  </si>
  <si>
    <t xml:space="preserve">รายละเอียด</t>
  </si>
  <si>
    <t xml:space="preserve">ที่มา / สถานะ</t>
  </si>
  <si>
    <t xml:space="preserve">ผู้ยืนยัน</t>
  </si>
  <si>
    <t xml:space="preserve">วันที่</t>
  </si>
  <si>
    <t xml:space="preserve">ผล / ค่าที่ใช้</t>
  </si>
  <si>
    <t xml:space="preserve">Part No. ทุกชิ้นจาก Spare Part List ของเครื่องจริง</t>
  </si>
  <si>
    <t xml:space="preserve">ชีท Breakdown</t>
  </si>
  <si>
    <t xml:space="preserve">ค่าตั้งแรงดัน Regulator · เวลาต่อรอบ · ค่าหยดน้ำมันของเครื่อง · จำนวน FRL</t>
  </si>
  <si>
    <t xml:space="preserve">ชีท Breakdown / AM_Standard / Kaizen</t>
  </si>
  <si>
    <t xml:space="preserve">ค่า O (โอกาสเกิด) ทุกแถว</t>
  </si>
  <si>
    <t xml:space="preserve">ยังไม่มีประวัติเสีย → ปรับด้วย BD/F-tag record 6–12 เดือน</t>
  </si>
  <si>
    <t xml:space="preserve">[INFER] → ข้อมูลจริง</t>
  </si>
  <si>
    <t xml:space="preserve">เวลาต่อจุดตรวจ (นาที)</t>
  </si>
  <si>
    <t xml:space="preserve">ประมาณการ · จับเวลาจริง · เป้า &lt; 10 นาที/กะ</t>
  </si>
  <si>
    <t xml:space="preserve">[INFER]</t>
  </si>
  <si>
    <t xml:space="preserve">Drain ตอนต้นกะ · ความถี่ W * · เดือนในปฏิทิน</t>
  </si>
  <si>
    <t xml:space="preserve">ต้นฉบับบอกวันละครั้ง/สัปดาห์ละครั้ง/3 เดือน/1 ปี แต่ไม่ระบุเวลาและเดือน</t>
  </si>
  <si>
    <t xml:space="preserve">ข้อเสนอ</t>
  </si>
  <si>
    <t xml:space="preserve">เปิด Manual drain ขณะมีลม หรือปล่อยลมก่อน</t>
  </si>
  <si>
    <t xml:space="preserve">ต้นฉบับเตือนแรงดันค้างเฉพาะตอนถอดถ้วย/เติมน้ำมัน</t>
  </si>
  <si>
    <t xml:space="preserve">ให้ Safety ยืนยัน · PDF p.38, p.40</t>
  </si>
  <si>
    <t xml:space="preserve">ปิดลมเข้า + LOTO ก่อนเติมน้ำมัน / ถอดตรวจ</t>
  </si>
  <si>
    <t xml:space="preserve">ต้นฉบับบอกให้ปล่อยแรงดันค้าง แต่ไม่ระบุ LOTO</t>
  </si>
  <si>
    <t xml:space="preserve">ข้อเสนอ · Safety ยืนยัน</t>
  </si>
  <si>
    <t xml:space="preserve">ผู้ทำงานถอดตรวจ 1 ปี = PM · ผู้ลองปรับ Regulator/Speed controller = ผู้ได้รับมอบหมาย</t>
  </si>
  <si>
    <t xml:space="preserve">ต้นฉบับไม่ระบุผู้ทำ</t>
  </si>
  <si>
    <t xml:space="preserve">ราคา Kaizen</t>
  </si>
  <si>
    <t xml:space="preserve">ประมาณการ</t>
  </si>
  <si>
    <t xml:space="preserve">[AI-KB] · จัดซื้อยืนยัน</t>
  </si>
  <si>
    <t xml:space="preserve">S = 9 ของถ้วยกรองและ Oil cap</t>
  </si>
  <si>
    <t xml:space="preserve">ต้นฉบับเตือนอันตราย (p.38, p.40) · ระดับ S ประเมินโดยผู้จัดทำ</t>
  </si>
  <si>
    <t xml:space="preserve">ให้ Safety ยืนยัน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</si>
</sst>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Tahoma"/>
      <family val="0"/>
      <charset val="1"/>
    </font>
    <font>
      <b val="true"/>
      <sz val="15"/>
      <color rgb="FFFFFFFF"/>
      <name val="WenQuanYi Zen Hei"/>
      <family val="2"/>
    </font>
    <font>
      <i val="true"/>
      <sz val="9"/>
      <color rgb="FF5A6775"/>
      <name val="Tahoma"/>
      <family val="0"/>
      <charset val="1"/>
    </font>
    <font>
      <b val="true"/>
      <sz val="9"/>
      <color rgb="FF1A1D21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b val="true"/>
      <sz val="10"/>
      <color rgb="FF1A1D21"/>
      <name val="Tahoma"/>
      <family val="0"/>
      <charset val="1"/>
    </font>
    <font>
      <sz val="10"/>
      <color rgb="FF1A1D21"/>
      <name val="Tahoma"/>
      <family val="0"/>
      <charset val="1"/>
    </font>
    <font>
      <sz val="10"/>
      <color rgb="FF1A1D21"/>
      <name val="WenQuanYi Zen Hei"/>
      <family val="2"/>
    </font>
    <font>
      <b val="true"/>
      <sz val="9"/>
      <color rgb="FFFFFFFF"/>
      <name val="Tahoma"/>
      <family val="0"/>
      <charset val="1"/>
    </font>
    <font>
      <b val="true"/>
      <sz val="10"/>
      <color rgb="FF1F5FBF"/>
      <name val="Tahoma"/>
      <family val="0"/>
      <charset val="1"/>
    </font>
    <font>
      <sz val="9"/>
      <color rgb="FF1A1D21"/>
      <name val="Tahoma"/>
      <family val="0"/>
      <charset val="1"/>
    </font>
    <font>
      <sz val="9"/>
      <color rgb="FFB07A00"/>
      <name val="Tahoma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2A36"/>
        <bgColor rgb="FF1A1D21"/>
      </patternFill>
    </fill>
    <fill>
      <patternFill patternType="solid">
        <fgColor rgb="FFFFFF00"/>
        <bgColor rgb="FFFFCC00"/>
      </patternFill>
    </fill>
    <fill>
      <patternFill patternType="solid">
        <fgColor rgb="FFE3ECF9"/>
        <bgColor rgb="FFDCEBFA"/>
      </patternFill>
    </fill>
    <fill>
      <patternFill patternType="solid">
        <fgColor rgb="FFF2F2F2"/>
        <bgColor rgb="FFE3ECF9"/>
      </patternFill>
    </fill>
    <fill>
      <patternFill patternType="solid">
        <fgColor rgb="FFDFF2E1"/>
        <bgColor rgb="FFE3ECF9"/>
      </patternFill>
    </fill>
    <fill>
      <patternFill patternType="solid">
        <fgColor rgb="FFDCEBFA"/>
        <bgColor rgb="FFE3ECF9"/>
      </patternFill>
    </fill>
    <fill>
      <patternFill patternType="solid">
        <fgColor rgb="FFEDE3F7"/>
        <bgColor rgb="FFE3ECF9"/>
      </patternFill>
    </fill>
    <fill>
      <patternFill patternType="solid">
        <fgColor rgb="FFFFF1C2"/>
        <bgColor rgb="FFFCE7B2"/>
      </patternFill>
    </fill>
    <fill>
      <patternFill patternType="solid">
        <fgColor rgb="FFC8E6C9"/>
        <bgColor rgb="FFDFF2E1"/>
      </patternFill>
    </fill>
    <fill>
      <patternFill patternType="solid">
        <fgColor rgb="FFFFCC80"/>
        <bgColor rgb="FFF8C9CF"/>
      </patternFill>
    </fill>
    <fill>
      <patternFill patternType="solid">
        <fgColor rgb="FFBBDEFB"/>
        <bgColor rgb="FFC8E6C9"/>
      </patternFill>
    </fill>
    <fill>
      <patternFill patternType="solid">
        <fgColor rgb="FFD1C4E9"/>
        <bgColor rgb="FFF8C9CF"/>
      </patternFill>
    </fill>
    <fill>
      <patternFill patternType="solid">
        <fgColor rgb="FFEF9A9A"/>
        <bgColor rgb="FFFF8080"/>
      </patternFill>
    </fill>
    <fill>
      <patternFill patternType="solid">
        <fgColor rgb="FFF8C9CF"/>
        <bgColor rgb="FFD1C4E9"/>
      </patternFill>
    </fill>
    <fill>
      <patternFill patternType="solid">
        <fgColor rgb="FFFCE7B2"/>
        <bgColor rgb="FFFFF1C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1AA"/>
      </left>
      <right style="thin">
        <color rgb="FF9AA1AA"/>
      </right>
      <top style="thin">
        <color rgb="FF9AA1AA"/>
      </top>
      <bottom style="thin">
        <color rgb="FF9AA1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Tahoma"/>
        <charset val="1"/>
        <family val="0"/>
        <b val="1"/>
        <color rgb="FFC32A3E"/>
      </font>
      <fill>
        <patternFill>
          <bgColor rgb="FFF8C9CF"/>
        </patternFill>
      </fill>
    </dxf>
    <dxf>
      <font>
        <name val="Tahoma"/>
        <charset val="1"/>
        <family val="0"/>
        <b val="1"/>
        <color rgb="FF8A5A00"/>
      </font>
      <fill>
        <patternFill>
          <bgColor rgb="FFFCE7B2"/>
        </patternFill>
      </fill>
    </dxf>
    <dxf>
      <font>
        <name val="Tahoma"/>
        <charset val="1"/>
        <family val="0"/>
        <b val="1"/>
        <color rgb="FF1F5FBF"/>
      </font>
      <fill>
        <patternFill>
          <bgColor rgb="FFE3ECF9"/>
        </patternFill>
      </fill>
    </dxf>
    <dxf>
      <font>
        <name val="Tahoma"/>
        <charset val="1"/>
        <family val="0"/>
        <b val="1"/>
        <color rgb="FF5A6775"/>
      </font>
      <fill>
        <patternFill>
          <bgColor rgb="FFF2F2F2"/>
        </patternFill>
      </fill>
    </dxf>
    <dxf>
      <fill>
        <patternFill>
          <bgColor rgb="FFF8C9CF"/>
        </patternFill>
      </fill>
    </dxf>
    <dxf>
      <fill>
        <patternFill>
          <bgColor rgb="FFC8E6C9"/>
        </patternFill>
      </fill>
    </dxf>
    <dxf>
      <fill>
        <patternFill>
          <bgColor rgb="FFFCE7B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7A00"/>
      <rgbColor rgb="FF800080"/>
      <rgbColor rgb="FF008080"/>
      <rgbColor rgb="FFC8E6C9"/>
      <rgbColor rgb="FF808080"/>
      <rgbColor rgb="FFEDE3F7"/>
      <rgbColor rgb="FFC32A3E"/>
      <rgbColor rgb="FFFFF1C2"/>
      <rgbColor rgb="FFDCEBFA"/>
      <rgbColor rgb="FF660066"/>
      <rgbColor rgb="FFFF8080"/>
      <rgbColor rgb="FF1F5FBF"/>
      <rgbColor rgb="FFD1C4E9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3ECF9"/>
      <rgbColor rgb="FFDFF2E1"/>
      <rgbColor rgb="FFFCE7B2"/>
      <rgbColor rgb="FFBBDEFB"/>
      <rgbColor rgb="FFEF9A9A"/>
      <rgbColor rgb="FFF8C9CF"/>
      <rgbColor rgb="FFFFCC80"/>
      <rgbColor rgb="FF3366FF"/>
      <rgbColor rgb="FF33CCCC"/>
      <rgbColor rgb="FF99CC00"/>
      <rgbColor rgb="FFFFCC00"/>
      <rgbColor rgb="FFFF9900"/>
      <rgbColor rgb="FFFF6600"/>
      <rgbColor rgb="FF5A6775"/>
      <rgbColor rgb="FF9AA1AA"/>
      <rgbColor rgb="FF003366"/>
      <rgbColor rgb="FF339966"/>
      <rgbColor rgb="FF003300"/>
      <rgbColor rgb="FF1A1D21"/>
      <rgbColor rgb="FF8A5A00"/>
      <rgbColor rgb="FF993366"/>
      <rgbColor rgb="FF333399"/>
      <rgbColor rgb="FF1F2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2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1.9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2</v>
      </c>
      <c r="B3" s="4"/>
      <c r="C3" s="4"/>
      <c r="D3" s="3" t="s">
        <v>3</v>
      </c>
      <c r="E3" s="4"/>
      <c r="F3" s="4"/>
    </row>
    <row r="4" customFormat="false" ht="19.5" hidden="false" customHeight="true" outlineLevel="0" collapsed="false">
      <c r="A4" s="3" t="s">
        <v>4</v>
      </c>
      <c r="B4" s="4"/>
      <c r="C4" s="4"/>
      <c r="D4" s="3" t="s">
        <v>5</v>
      </c>
      <c r="E4" s="4"/>
      <c r="F4" s="4"/>
    </row>
    <row r="6" customFormat="false" ht="39.75" hidden="false" customHeight="true" outlineLevel="0" collapsed="false">
      <c r="A6" s="5" t="s">
        <v>6</v>
      </c>
      <c r="B6" s="5" t="s">
        <v>7</v>
      </c>
      <c r="C6" s="5"/>
      <c r="D6" s="5"/>
      <c r="E6" s="5"/>
      <c r="F6" s="5"/>
    </row>
    <row r="7" customFormat="false" ht="39.75" hidden="false" customHeight="true" outlineLevel="0" collapsed="false">
      <c r="A7" s="6" t="s">
        <v>8</v>
      </c>
      <c r="B7" s="7" t="s">
        <v>9</v>
      </c>
      <c r="C7" s="7"/>
      <c r="D7" s="7"/>
      <c r="E7" s="7"/>
      <c r="F7" s="7"/>
    </row>
    <row r="8" customFormat="false" ht="39.75" hidden="false" customHeight="true" outlineLevel="0" collapsed="false">
      <c r="A8" s="6" t="s">
        <v>10</v>
      </c>
      <c r="B8" s="7" t="s">
        <v>11</v>
      </c>
      <c r="C8" s="7"/>
      <c r="D8" s="7"/>
      <c r="E8" s="7"/>
      <c r="F8" s="7"/>
    </row>
    <row r="9" customFormat="false" ht="39.75" hidden="false" customHeight="true" outlineLevel="0" collapsed="false">
      <c r="A9" s="6" t="s">
        <v>12</v>
      </c>
      <c r="B9" s="7" t="s">
        <v>13</v>
      </c>
      <c r="C9" s="7"/>
      <c r="D9" s="7"/>
      <c r="E9" s="7"/>
      <c r="F9" s="7"/>
    </row>
    <row r="10" customFormat="false" ht="39.75" hidden="false" customHeight="true" outlineLevel="0" collapsed="false">
      <c r="A10" s="6" t="s">
        <v>14</v>
      </c>
      <c r="B10" s="7" t="s">
        <v>15</v>
      </c>
      <c r="C10" s="7"/>
      <c r="D10" s="7"/>
      <c r="E10" s="7"/>
      <c r="F10" s="7"/>
    </row>
    <row r="11" customFormat="false" ht="39.75" hidden="false" customHeight="true" outlineLevel="0" collapsed="false">
      <c r="A11" s="6" t="s">
        <v>16</v>
      </c>
      <c r="B11" s="7" t="s">
        <v>17</v>
      </c>
      <c r="C11" s="7"/>
      <c r="D11" s="7"/>
      <c r="E11" s="7"/>
      <c r="F11" s="7"/>
    </row>
    <row r="12" customFormat="false" ht="39.75" hidden="false" customHeight="true" outlineLevel="0" collapsed="false">
      <c r="A12" s="6" t="s">
        <v>18</v>
      </c>
      <c r="B12" s="7" t="s">
        <v>19</v>
      </c>
      <c r="C12" s="7"/>
      <c r="D12" s="7"/>
      <c r="E12" s="7"/>
      <c r="F12" s="7"/>
    </row>
    <row r="13" customFormat="false" ht="39.75" hidden="false" customHeight="true" outlineLevel="0" collapsed="false">
      <c r="A13" s="6" t="s">
        <v>20</v>
      </c>
      <c r="B13" s="7" t="s">
        <v>21</v>
      </c>
      <c r="C13" s="7"/>
      <c r="D13" s="7"/>
      <c r="E13" s="7"/>
      <c r="F13" s="7"/>
    </row>
    <row r="14" customFormat="false" ht="9.75" hidden="false" customHeight="true" outlineLevel="0" collapsed="false">
      <c r="A14" s="8"/>
      <c r="B14" s="9"/>
      <c r="C14" s="9"/>
      <c r="D14" s="9"/>
      <c r="E14" s="9"/>
      <c r="F14" s="9"/>
    </row>
    <row r="15" customFormat="false" ht="39.75" hidden="false" customHeight="true" outlineLevel="0" collapsed="false">
      <c r="A15" s="6" t="s">
        <v>22</v>
      </c>
      <c r="B15" s="7" t="s">
        <v>23</v>
      </c>
      <c r="C15" s="7"/>
      <c r="D15" s="7"/>
      <c r="E15" s="7"/>
      <c r="F15" s="7"/>
    </row>
    <row r="16" customFormat="false" ht="39.75" hidden="false" customHeight="true" outlineLevel="0" collapsed="false">
      <c r="A16" s="6" t="s">
        <v>24</v>
      </c>
      <c r="B16" s="7" t="s">
        <v>25</v>
      </c>
      <c r="C16" s="7"/>
      <c r="D16" s="7"/>
      <c r="E16" s="7"/>
      <c r="F16" s="7"/>
    </row>
    <row r="17" customFormat="false" ht="39.75" hidden="false" customHeight="true" outlineLevel="0" collapsed="false">
      <c r="A17" s="6" t="s">
        <v>26</v>
      </c>
      <c r="B17" s="7" t="s">
        <v>27</v>
      </c>
      <c r="C17" s="7"/>
      <c r="D17" s="7"/>
      <c r="E17" s="7"/>
      <c r="F17" s="7"/>
    </row>
    <row r="18" customFormat="false" ht="39.75" hidden="false" customHeight="true" outlineLevel="0" collapsed="false">
      <c r="A18" s="6" t="s">
        <v>28</v>
      </c>
      <c r="B18" s="7" t="s">
        <v>29</v>
      </c>
      <c r="C18" s="7"/>
      <c r="D18" s="7"/>
      <c r="E18" s="7"/>
      <c r="F18" s="7"/>
    </row>
    <row r="19" customFormat="false" ht="39.75" hidden="false" customHeight="true" outlineLevel="0" collapsed="false">
      <c r="A19" s="6" t="s">
        <v>30</v>
      </c>
      <c r="B19" s="7" t="s">
        <v>31</v>
      </c>
      <c r="C19" s="7"/>
      <c r="D19" s="7"/>
      <c r="E19" s="7"/>
      <c r="F19" s="7"/>
    </row>
    <row r="20" customFormat="false" ht="39.75" hidden="false" customHeight="true" outlineLevel="0" collapsed="false">
      <c r="A20" s="6" t="s">
        <v>32</v>
      </c>
      <c r="B20" s="7" t="s">
        <v>33</v>
      </c>
      <c r="C20" s="7"/>
      <c r="D20" s="7"/>
      <c r="E20" s="7"/>
      <c r="F20" s="7"/>
    </row>
  </sheetData>
  <mergeCells count="21">
    <mergeCell ref="A1:F1"/>
    <mergeCell ref="A2:F2"/>
    <mergeCell ref="B3:C3"/>
    <mergeCell ref="E3:F3"/>
    <mergeCell ref="B4:C4"/>
    <mergeCell ref="E4:F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</mergeCells>
  <printOptions headings="false" gridLines="false" gridLinesSet="true" horizontalCentered="true" verticalCentered="false"/>
  <pageMargins left="0.3" right="0.3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36"/>
    <col collapsed="false" customWidth="true" hidden="false" outlineLevel="0" max="6" min="6" style="0" width="42"/>
    <col collapsed="false" customWidth="true" hidden="false" outlineLevel="0" max="7" min="7" style="0" width="9"/>
    <col collapsed="false" customWidth="true" hidden="false" outlineLevel="0" max="8" min="8" style="0" width="18"/>
  </cols>
  <sheetData>
    <row r="1" customFormat="false" ht="30" hidden="false" customHeight="true" outlineLevel="0" collapsed="false">
      <c r="A1" s="1" t="s">
        <v>34</v>
      </c>
      <c r="B1" s="1"/>
      <c r="C1" s="1"/>
      <c r="D1" s="1"/>
      <c r="E1" s="1"/>
      <c r="F1" s="1"/>
      <c r="G1" s="1"/>
      <c r="H1" s="1"/>
    </row>
    <row r="2" customFormat="false" ht="11.9" hidden="false" customHeight="false" outlineLevel="0" collapsed="false">
      <c r="A2" s="2" t="s">
        <v>35</v>
      </c>
      <c r="B2" s="2"/>
      <c r="C2" s="2"/>
      <c r="D2" s="2"/>
      <c r="E2" s="2"/>
      <c r="F2" s="2"/>
      <c r="G2" s="2"/>
      <c r="H2" s="2"/>
    </row>
    <row r="4" customFormat="false" ht="36" hidden="false" customHeight="true" outlineLevel="0" collapsed="false">
      <c r="A4" s="10" t="s">
        <v>36</v>
      </c>
      <c r="B4" s="10" t="s">
        <v>37</v>
      </c>
      <c r="C4" s="10" t="s">
        <v>38</v>
      </c>
      <c r="D4" s="10" t="s">
        <v>39</v>
      </c>
      <c r="E4" s="10" t="s">
        <v>40</v>
      </c>
      <c r="F4" s="10" t="s">
        <v>41</v>
      </c>
      <c r="G4" s="10" t="s">
        <v>42</v>
      </c>
      <c r="H4" s="10" t="s">
        <v>43</v>
      </c>
    </row>
    <row r="5" customFormat="false" ht="21.75" hidden="false" customHeight="true" outlineLevel="0" collapsed="false">
      <c r="A5" s="11" t="s">
        <v>44</v>
      </c>
      <c r="B5" s="11"/>
      <c r="C5" s="11"/>
      <c r="D5" s="11"/>
      <c r="E5" s="11"/>
      <c r="F5" s="11"/>
      <c r="G5" s="11"/>
      <c r="H5" s="11"/>
    </row>
    <row r="6" customFormat="false" ht="42" hidden="false" customHeight="true" outlineLevel="0" collapsed="false">
      <c r="A6" s="12" t="s">
        <v>45</v>
      </c>
      <c r="B6" s="13" t="s">
        <v>44</v>
      </c>
      <c r="C6" s="14" t="s">
        <v>46</v>
      </c>
      <c r="D6" s="15" t="s">
        <v>47</v>
      </c>
      <c r="E6" s="13" t="s">
        <v>48</v>
      </c>
      <c r="F6" s="13" t="s">
        <v>49</v>
      </c>
      <c r="G6" s="16" t="s">
        <v>50</v>
      </c>
      <c r="H6" s="13" t="s">
        <v>51</v>
      </c>
    </row>
    <row r="7" customFormat="false" ht="42" hidden="false" customHeight="true" outlineLevel="0" collapsed="false">
      <c r="A7" s="12" t="s">
        <v>52</v>
      </c>
      <c r="B7" s="13" t="s">
        <v>44</v>
      </c>
      <c r="C7" s="14" t="s">
        <v>53</v>
      </c>
      <c r="D7" s="15" t="s">
        <v>47</v>
      </c>
      <c r="E7" s="13" t="s">
        <v>54</v>
      </c>
      <c r="F7" s="13" t="s">
        <v>55</v>
      </c>
      <c r="G7" s="16" t="s">
        <v>56</v>
      </c>
      <c r="H7" s="13" t="s">
        <v>57</v>
      </c>
    </row>
    <row r="8" customFormat="false" ht="21.75" hidden="false" customHeight="true" outlineLevel="0" collapsed="false">
      <c r="A8" s="11" t="s">
        <v>58</v>
      </c>
      <c r="B8" s="11"/>
      <c r="C8" s="11"/>
      <c r="D8" s="11"/>
      <c r="E8" s="11"/>
      <c r="F8" s="11"/>
      <c r="G8" s="11"/>
      <c r="H8" s="11"/>
    </row>
    <row r="9" customFormat="false" ht="42" hidden="false" customHeight="true" outlineLevel="0" collapsed="false">
      <c r="A9" s="12" t="s">
        <v>59</v>
      </c>
      <c r="B9" s="13" t="s">
        <v>58</v>
      </c>
      <c r="C9" s="14" t="s">
        <v>60</v>
      </c>
      <c r="D9" s="15" t="s">
        <v>47</v>
      </c>
      <c r="E9" s="13" t="s">
        <v>61</v>
      </c>
      <c r="F9" s="13" t="s">
        <v>62</v>
      </c>
      <c r="G9" s="16" t="s">
        <v>50</v>
      </c>
      <c r="H9" s="13" t="s">
        <v>63</v>
      </c>
    </row>
    <row r="10" customFormat="false" ht="42" hidden="false" customHeight="true" outlineLevel="0" collapsed="false">
      <c r="A10" s="12" t="s">
        <v>64</v>
      </c>
      <c r="B10" s="13" t="s">
        <v>58</v>
      </c>
      <c r="C10" s="14" t="s">
        <v>65</v>
      </c>
      <c r="D10" s="15" t="s">
        <v>47</v>
      </c>
      <c r="E10" s="13" t="s">
        <v>66</v>
      </c>
      <c r="F10" s="13" t="s">
        <v>67</v>
      </c>
      <c r="G10" s="16" t="s">
        <v>50</v>
      </c>
      <c r="H10" s="13" t="s">
        <v>68</v>
      </c>
    </row>
    <row r="11" customFormat="false" ht="42" hidden="false" customHeight="true" outlineLevel="0" collapsed="false">
      <c r="A11" s="12" t="s">
        <v>69</v>
      </c>
      <c r="B11" s="13" t="s">
        <v>58</v>
      </c>
      <c r="C11" s="14" t="s">
        <v>70</v>
      </c>
      <c r="D11" s="15" t="s">
        <v>47</v>
      </c>
      <c r="E11" s="13" t="s">
        <v>71</v>
      </c>
      <c r="F11" s="13" t="s">
        <v>72</v>
      </c>
      <c r="G11" s="16" t="s">
        <v>50</v>
      </c>
      <c r="H11" s="13" t="s">
        <v>73</v>
      </c>
    </row>
    <row r="12" customFormat="false" ht="42" hidden="false" customHeight="true" outlineLevel="0" collapsed="false">
      <c r="A12" s="12" t="s">
        <v>74</v>
      </c>
      <c r="B12" s="13" t="s">
        <v>58</v>
      </c>
      <c r="C12" s="14" t="s">
        <v>75</v>
      </c>
      <c r="D12" s="15" t="s">
        <v>47</v>
      </c>
      <c r="E12" s="13" t="s">
        <v>76</v>
      </c>
      <c r="F12" s="17" t="s">
        <v>77</v>
      </c>
      <c r="G12" s="16" t="s">
        <v>50</v>
      </c>
      <c r="H12" s="13" t="s">
        <v>78</v>
      </c>
    </row>
    <row r="13" customFormat="false" ht="42" hidden="false" customHeight="true" outlineLevel="0" collapsed="false">
      <c r="A13" s="12" t="s">
        <v>79</v>
      </c>
      <c r="B13" s="13" t="s">
        <v>58</v>
      </c>
      <c r="C13" s="14" t="s">
        <v>80</v>
      </c>
      <c r="D13" s="15" t="s">
        <v>47</v>
      </c>
      <c r="E13" s="13" t="s">
        <v>81</v>
      </c>
      <c r="F13" s="13" t="s">
        <v>82</v>
      </c>
      <c r="G13" s="16" t="s">
        <v>50</v>
      </c>
      <c r="H13" s="13" t="s">
        <v>83</v>
      </c>
    </row>
    <row r="14" customFormat="false" ht="42" hidden="false" customHeight="true" outlineLevel="0" collapsed="false">
      <c r="A14" s="12" t="s">
        <v>84</v>
      </c>
      <c r="B14" s="13" t="s">
        <v>58</v>
      </c>
      <c r="C14" s="14" t="s">
        <v>85</v>
      </c>
      <c r="D14" s="15" t="s">
        <v>47</v>
      </c>
      <c r="E14" s="13" t="s">
        <v>86</v>
      </c>
      <c r="F14" s="13" t="s">
        <v>87</v>
      </c>
      <c r="G14" s="16" t="s">
        <v>50</v>
      </c>
      <c r="H14" s="13" t="s">
        <v>88</v>
      </c>
    </row>
    <row r="15" customFormat="false" ht="42" hidden="false" customHeight="true" outlineLevel="0" collapsed="false">
      <c r="A15" s="12" t="s">
        <v>89</v>
      </c>
      <c r="B15" s="13" t="s">
        <v>58</v>
      </c>
      <c r="C15" s="14" t="s">
        <v>90</v>
      </c>
      <c r="D15" s="15" t="s">
        <v>47</v>
      </c>
      <c r="E15" s="13" t="s">
        <v>91</v>
      </c>
      <c r="F15" s="13" t="s">
        <v>92</v>
      </c>
      <c r="G15" s="16" t="s">
        <v>50</v>
      </c>
      <c r="H15" s="13" t="s">
        <v>93</v>
      </c>
    </row>
    <row r="16" customFormat="false" ht="42" hidden="false" customHeight="true" outlineLevel="0" collapsed="false">
      <c r="A16" s="12" t="s">
        <v>94</v>
      </c>
      <c r="B16" s="13" t="s">
        <v>58</v>
      </c>
      <c r="C16" s="14" t="s">
        <v>95</v>
      </c>
      <c r="D16" s="15" t="s">
        <v>47</v>
      </c>
      <c r="E16" s="13" t="s">
        <v>96</v>
      </c>
      <c r="F16" s="13" t="s">
        <v>97</v>
      </c>
      <c r="G16" s="16" t="s">
        <v>50</v>
      </c>
      <c r="H16" s="13" t="s">
        <v>98</v>
      </c>
    </row>
    <row r="17" customFormat="false" ht="42" hidden="false" customHeight="true" outlineLevel="0" collapsed="false">
      <c r="A17" s="12" t="s">
        <v>99</v>
      </c>
      <c r="B17" s="13" t="s">
        <v>58</v>
      </c>
      <c r="C17" s="14" t="s">
        <v>100</v>
      </c>
      <c r="D17" s="15" t="s">
        <v>47</v>
      </c>
      <c r="E17" s="13" t="s">
        <v>101</v>
      </c>
      <c r="F17" s="13" t="s">
        <v>102</v>
      </c>
      <c r="G17" s="16" t="s">
        <v>50</v>
      </c>
      <c r="H17" s="13" t="s">
        <v>103</v>
      </c>
    </row>
    <row r="18" customFormat="false" ht="21.75" hidden="false" customHeight="true" outlineLevel="0" collapsed="false">
      <c r="A18" s="11" t="s">
        <v>104</v>
      </c>
      <c r="B18" s="11"/>
      <c r="C18" s="11"/>
      <c r="D18" s="11"/>
      <c r="E18" s="11"/>
      <c r="F18" s="11"/>
      <c r="G18" s="11"/>
      <c r="H18" s="11"/>
    </row>
    <row r="19" customFormat="false" ht="42" hidden="false" customHeight="true" outlineLevel="0" collapsed="false">
      <c r="A19" s="12" t="s">
        <v>105</v>
      </c>
      <c r="B19" s="13" t="s">
        <v>104</v>
      </c>
      <c r="C19" s="14" t="s">
        <v>106</v>
      </c>
      <c r="D19" s="15" t="s">
        <v>47</v>
      </c>
      <c r="E19" s="13" t="s">
        <v>107</v>
      </c>
      <c r="F19" s="13" t="s">
        <v>108</v>
      </c>
      <c r="G19" s="16" t="s">
        <v>109</v>
      </c>
      <c r="H19" s="13" t="s">
        <v>110</v>
      </c>
    </row>
    <row r="20" customFormat="false" ht="42" hidden="false" customHeight="true" outlineLevel="0" collapsed="false">
      <c r="A20" s="12" t="s">
        <v>111</v>
      </c>
      <c r="B20" s="13" t="s">
        <v>104</v>
      </c>
      <c r="C20" s="14" t="s">
        <v>112</v>
      </c>
      <c r="D20" s="15" t="s">
        <v>47</v>
      </c>
      <c r="E20" s="13" t="s">
        <v>113</v>
      </c>
      <c r="F20" s="13" t="s">
        <v>114</v>
      </c>
      <c r="G20" s="16" t="s">
        <v>50</v>
      </c>
      <c r="H20" s="13" t="s">
        <v>115</v>
      </c>
    </row>
    <row r="21" customFormat="false" ht="42" hidden="false" customHeight="true" outlineLevel="0" collapsed="false">
      <c r="A21" s="12" t="s">
        <v>116</v>
      </c>
      <c r="B21" s="13" t="s">
        <v>104</v>
      </c>
      <c r="C21" s="14" t="s">
        <v>117</v>
      </c>
      <c r="D21" s="15" t="s">
        <v>47</v>
      </c>
      <c r="E21" s="13" t="s">
        <v>118</v>
      </c>
      <c r="F21" s="13" t="s">
        <v>119</v>
      </c>
      <c r="G21" s="16" t="s">
        <v>50</v>
      </c>
      <c r="H21" s="13" t="s">
        <v>120</v>
      </c>
    </row>
    <row r="22" customFormat="false" ht="42" hidden="false" customHeight="true" outlineLevel="0" collapsed="false">
      <c r="A22" s="12" t="s">
        <v>121</v>
      </c>
      <c r="B22" s="13" t="s">
        <v>104</v>
      </c>
      <c r="C22" s="14" t="s">
        <v>122</v>
      </c>
      <c r="D22" s="15" t="s">
        <v>47</v>
      </c>
      <c r="E22" s="13" t="s">
        <v>123</v>
      </c>
      <c r="F22" s="13" t="s">
        <v>124</v>
      </c>
      <c r="G22" s="16" t="s">
        <v>50</v>
      </c>
      <c r="H22" s="13" t="s">
        <v>125</v>
      </c>
    </row>
    <row r="23" customFormat="false" ht="42" hidden="false" customHeight="true" outlineLevel="0" collapsed="false">
      <c r="A23" s="12" t="s">
        <v>126</v>
      </c>
      <c r="B23" s="13" t="s">
        <v>104</v>
      </c>
      <c r="C23" s="14" t="s">
        <v>127</v>
      </c>
      <c r="D23" s="15" t="s">
        <v>47</v>
      </c>
      <c r="E23" s="13" t="s">
        <v>128</v>
      </c>
      <c r="F23" s="13" t="s">
        <v>129</v>
      </c>
      <c r="G23" s="16" t="s">
        <v>50</v>
      </c>
      <c r="H23" s="13" t="s">
        <v>130</v>
      </c>
    </row>
    <row r="24" customFormat="false" ht="21.75" hidden="false" customHeight="true" outlineLevel="0" collapsed="false">
      <c r="A24" s="11" t="s">
        <v>131</v>
      </c>
      <c r="B24" s="11"/>
      <c r="C24" s="11"/>
      <c r="D24" s="11"/>
      <c r="E24" s="11"/>
      <c r="F24" s="11"/>
      <c r="G24" s="11"/>
      <c r="H24" s="11"/>
    </row>
    <row r="25" customFormat="false" ht="42" hidden="false" customHeight="true" outlineLevel="0" collapsed="false">
      <c r="A25" s="12" t="s">
        <v>132</v>
      </c>
      <c r="B25" s="13" t="s">
        <v>131</v>
      </c>
      <c r="C25" s="14" t="s">
        <v>133</v>
      </c>
      <c r="D25" s="15" t="s">
        <v>47</v>
      </c>
      <c r="E25" s="13" t="s">
        <v>134</v>
      </c>
      <c r="F25" s="13" t="s">
        <v>135</v>
      </c>
      <c r="G25" s="16" t="s">
        <v>50</v>
      </c>
      <c r="H25" s="13" t="s">
        <v>136</v>
      </c>
    </row>
    <row r="26" customFormat="false" ht="42" hidden="false" customHeight="true" outlineLevel="0" collapsed="false">
      <c r="A26" s="12" t="s">
        <v>137</v>
      </c>
      <c r="B26" s="13" t="s">
        <v>131</v>
      </c>
      <c r="C26" s="14" t="s">
        <v>138</v>
      </c>
      <c r="D26" s="15" t="s">
        <v>47</v>
      </c>
      <c r="E26" s="13" t="s">
        <v>139</v>
      </c>
      <c r="F26" s="13" t="s">
        <v>140</v>
      </c>
      <c r="G26" s="16" t="s">
        <v>50</v>
      </c>
      <c r="H26" s="13" t="s">
        <v>141</v>
      </c>
    </row>
    <row r="27" customFormat="false" ht="21.75" hidden="false" customHeight="true" outlineLevel="0" collapsed="false">
      <c r="A27" s="11" t="s">
        <v>142</v>
      </c>
      <c r="B27" s="11"/>
      <c r="C27" s="11"/>
      <c r="D27" s="11"/>
      <c r="E27" s="11"/>
      <c r="F27" s="11"/>
      <c r="G27" s="11"/>
      <c r="H27" s="11"/>
    </row>
    <row r="28" customFormat="false" ht="42" hidden="false" customHeight="true" outlineLevel="0" collapsed="false">
      <c r="A28" s="12" t="s">
        <v>143</v>
      </c>
      <c r="B28" s="13" t="s">
        <v>142</v>
      </c>
      <c r="C28" s="14" t="s">
        <v>144</v>
      </c>
      <c r="D28" s="15" t="s">
        <v>47</v>
      </c>
      <c r="E28" s="13" t="s">
        <v>145</v>
      </c>
      <c r="F28" s="13" t="s">
        <v>146</v>
      </c>
      <c r="G28" s="16" t="s">
        <v>50</v>
      </c>
      <c r="H28" s="13" t="s">
        <v>147</v>
      </c>
    </row>
    <row r="29" customFormat="false" ht="42" hidden="false" customHeight="true" outlineLevel="0" collapsed="false">
      <c r="A29" s="12" t="s">
        <v>148</v>
      </c>
      <c r="B29" s="13" t="s">
        <v>142</v>
      </c>
      <c r="C29" s="14" t="s">
        <v>149</v>
      </c>
      <c r="D29" s="15" t="s">
        <v>47</v>
      </c>
      <c r="E29" s="13" t="s">
        <v>150</v>
      </c>
      <c r="F29" s="13" t="s">
        <v>151</v>
      </c>
      <c r="G29" s="16" t="s">
        <v>50</v>
      </c>
      <c r="H29" s="13" t="s">
        <v>147</v>
      </c>
    </row>
  </sheetData>
  <mergeCells count="7">
    <mergeCell ref="A1:H1"/>
    <mergeCell ref="A2:H2"/>
    <mergeCell ref="A5:H5"/>
    <mergeCell ref="A8:H8"/>
    <mergeCell ref="A18:H18"/>
    <mergeCell ref="A24:H24"/>
    <mergeCell ref="A27:H27"/>
  </mergeCells>
  <printOptions headings="false" gridLines="false" gridLinesSet="true" horizontalCentered="true" verticalCentered="false"/>
  <pageMargins left="0.3" right="0.3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32"/>
    <col collapsed="false" customWidth="true" hidden="false" outlineLevel="0" max="6" min="6" style="0" width="20"/>
    <col collapsed="false" customWidth="true" hidden="false" outlineLevel="0" max="7" min="7" style="0" width="5"/>
    <col collapsed="false" customWidth="true" hidden="false" outlineLevel="0" max="8" min="8" style="0" width="24"/>
    <col collapsed="false" customWidth="true" hidden="false" outlineLevel="0" max="9" min="9" style="0" width="5"/>
    <col collapsed="false" customWidth="true" hidden="false" outlineLevel="0" max="10" min="10" style="0" width="24"/>
    <col collapsed="false" customWidth="true" hidden="false" outlineLevel="0" max="11" min="11" style="0" width="5"/>
    <col collapsed="false" customWidth="true" hidden="false" outlineLevel="0" max="12" min="12" style="0" width="24"/>
    <col collapsed="false" customWidth="true" hidden="false" outlineLevel="0" max="13" min="13" style="0" width="7"/>
    <col collapsed="false" customWidth="true" hidden="false" outlineLevel="0" max="14" min="14" style="0" width="12"/>
    <col collapsed="false" customWidth="true" hidden="false" outlineLevel="0" max="15" min="15" style="0" width="11"/>
  </cols>
  <sheetData>
    <row r="1" customFormat="false" ht="30" hidden="false" customHeight="true" outlineLevel="0" collapsed="false">
      <c r="A1" s="1" t="s">
        <v>152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1.9" hidden="false" customHeight="false" outlineLevel="0" collapsed="false">
      <c r="A2" s="2" t="s">
        <v>153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36" hidden="false" customHeight="true" outlineLevel="0" collapsed="false">
      <c r="A4" s="10" t="s">
        <v>36</v>
      </c>
      <c r="B4" s="10" t="s">
        <v>154</v>
      </c>
      <c r="C4" s="10" t="s">
        <v>155</v>
      </c>
      <c r="D4" s="10" t="s">
        <v>156</v>
      </c>
      <c r="E4" s="10" t="s">
        <v>157</v>
      </c>
      <c r="F4" s="10" t="s">
        <v>158</v>
      </c>
      <c r="G4" s="10" t="s">
        <v>159</v>
      </c>
      <c r="H4" s="10" t="s">
        <v>160</v>
      </c>
      <c r="I4" s="10" t="s">
        <v>161</v>
      </c>
      <c r="J4" s="10" t="s">
        <v>162</v>
      </c>
      <c r="K4" s="10" t="s">
        <v>163</v>
      </c>
      <c r="L4" s="10" t="s">
        <v>164</v>
      </c>
      <c r="M4" s="10" t="s">
        <v>165</v>
      </c>
      <c r="N4" s="10" t="s">
        <v>24</v>
      </c>
      <c r="O4" s="10" t="s">
        <v>166</v>
      </c>
    </row>
    <row r="5" customFormat="false" ht="63.75" hidden="false" customHeight="true" outlineLevel="0" collapsed="false">
      <c r="A5" s="12" t="s">
        <v>45</v>
      </c>
      <c r="B5" s="14" t="s">
        <v>46</v>
      </c>
      <c r="C5" s="13" t="s">
        <v>167</v>
      </c>
      <c r="D5" s="17" t="s">
        <v>168</v>
      </c>
      <c r="E5" s="13" t="s">
        <v>169</v>
      </c>
      <c r="F5" s="13" t="s">
        <v>170</v>
      </c>
      <c r="G5" s="18" t="n">
        <v>5</v>
      </c>
      <c r="H5" s="13" t="s">
        <v>171</v>
      </c>
      <c r="I5" s="18" t="n">
        <v>6</v>
      </c>
      <c r="J5" s="17" t="s">
        <v>172</v>
      </c>
      <c r="K5" s="18" t="n">
        <v>8</v>
      </c>
      <c r="L5" s="13" t="s">
        <v>173</v>
      </c>
      <c r="M5" s="19" t="n">
        <f aca="false">G5*I5*K5</f>
        <v>240</v>
      </c>
      <c r="N5" s="12" t="str">
        <f aca="false">IF(G5&gt;=9,"CRITICAL",IF(AND(G5&gt;=7,M5&gt;=200),"CRITICAL",IF(OR(G5&gt;=7,M5&gt;=150,I5&gt;=7),"HIGH",IF(K5&gt;=8,"MEDIUM","LOW"))))</f>
        <v>HIGH</v>
      </c>
      <c r="O5" s="12" t="str">
        <f aca="false">IF(COUNTIF(AM_Standard!$B:$B,A5)&gt;0,"✓","ขาด")</f>
        <v>✓</v>
      </c>
    </row>
    <row r="6" customFormat="false" ht="63.75" hidden="false" customHeight="true" outlineLevel="0" collapsed="false">
      <c r="A6" s="12" t="s">
        <v>52</v>
      </c>
      <c r="B6" s="14" t="s">
        <v>53</v>
      </c>
      <c r="C6" s="13" t="s">
        <v>174</v>
      </c>
      <c r="D6" s="13" t="s">
        <v>175</v>
      </c>
      <c r="E6" s="13" t="s">
        <v>176</v>
      </c>
      <c r="F6" s="13" t="s">
        <v>177</v>
      </c>
      <c r="G6" s="18" t="n">
        <v>6</v>
      </c>
      <c r="H6" s="13" t="s">
        <v>178</v>
      </c>
      <c r="I6" s="18" t="n">
        <v>5</v>
      </c>
      <c r="J6" s="17" t="s">
        <v>179</v>
      </c>
      <c r="K6" s="18" t="n">
        <v>7</v>
      </c>
      <c r="L6" s="13" t="s">
        <v>180</v>
      </c>
      <c r="M6" s="19" t="n">
        <f aca="false">G6*I6*K6</f>
        <v>210</v>
      </c>
      <c r="N6" s="12" t="str">
        <f aca="false">IF(G6&gt;=9,"CRITICAL",IF(AND(G6&gt;=7,M6&gt;=200),"CRITICAL",IF(OR(G6&gt;=7,M6&gt;=150,I6&gt;=7),"HIGH",IF(K6&gt;=8,"MEDIUM","LOW"))))</f>
        <v>HIGH</v>
      </c>
      <c r="O6" s="12" t="str">
        <f aca="false">IF(COUNTIF(AM_Standard!$B:$B,A6)&gt;0,"✓","ขาด")</f>
        <v>✓</v>
      </c>
    </row>
    <row r="7" customFormat="false" ht="63.75" hidden="false" customHeight="true" outlineLevel="0" collapsed="false">
      <c r="A7" s="12" t="s">
        <v>59</v>
      </c>
      <c r="B7" s="14" t="s">
        <v>60</v>
      </c>
      <c r="C7" s="13" t="s">
        <v>181</v>
      </c>
      <c r="D7" s="13" t="s">
        <v>182</v>
      </c>
      <c r="E7" s="13" t="s">
        <v>183</v>
      </c>
      <c r="F7" s="13" t="s">
        <v>184</v>
      </c>
      <c r="G7" s="18" t="n">
        <v>7</v>
      </c>
      <c r="H7" s="13" t="s">
        <v>185</v>
      </c>
      <c r="I7" s="18" t="n">
        <v>7</v>
      </c>
      <c r="J7" s="13" t="s">
        <v>186</v>
      </c>
      <c r="K7" s="18" t="n">
        <v>7</v>
      </c>
      <c r="L7" s="13" t="s">
        <v>187</v>
      </c>
      <c r="M7" s="19" t="n">
        <f aca="false">G7*I7*K7</f>
        <v>343</v>
      </c>
      <c r="N7" s="12" t="str">
        <f aca="false">IF(G7&gt;=9,"CRITICAL",IF(AND(G7&gt;=7,M7&gt;=200),"CRITICAL",IF(OR(G7&gt;=7,M7&gt;=150,I7&gt;=7),"HIGH",IF(K7&gt;=8,"MEDIUM","LOW"))))</f>
        <v>CRITICAL</v>
      </c>
      <c r="O7" s="12" t="str">
        <f aca="false">IF(COUNTIF(AM_Standard!$B:$B,A7)&gt;0,"✓","ขาด")</f>
        <v>✓</v>
      </c>
    </row>
    <row r="8" customFormat="false" ht="63.75" hidden="false" customHeight="true" outlineLevel="0" collapsed="false">
      <c r="A8" s="12" t="s">
        <v>64</v>
      </c>
      <c r="B8" s="14" t="s">
        <v>65</v>
      </c>
      <c r="C8" s="13" t="s">
        <v>188</v>
      </c>
      <c r="D8" s="13" t="s">
        <v>189</v>
      </c>
      <c r="E8" s="13" t="s">
        <v>190</v>
      </c>
      <c r="F8" s="13" t="s">
        <v>191</v>
      </c>
      <c r="G8" s="18" t="n">
        <v>9</v>
      </c>
      <c r="H8" s="13" t="s">
        <v>192</v>
      </c>
      <c r="I8" s="18" t="n">
        <v>3</v>
      </c>
      <c r="J8" s="17" t="s">
        <v>193</v>
      </c>
      <c r="K8" s="18" t="n">
        <v>7</v>
      </c>
      <c r="L8" s="13" t="s">
        <v>180</v>
      </c>
      <c r="M8" s="19" t="n">
        <f aca="false">G8*I8*K8</f>
        <v>189</v>
      </c>
      <c r="N8" s="12" t="str">
        <f aca="false">IF(G8&gt;=9,"CRITICAL",IF(AND(G8&gt;=7,M8&gt;=200),"CRITICAL",IF(OR(G8&gt;=7,M8&gt;=150,I8&gt;=7),"HIGH",IF(K8&gt;=8,"MEDIUM","LOW"))))</f>
        <v>CRITICAL</v>
      </c>
      <c r="O8" s="12" t="str">
        <f aca="false">IF(COUNTIF(AM_Standard!$B:$B,A8)&gt;0,"✓","ขาด")</f>
        <v>✓</v>
      </c>
    </row>
    <row r="9" customFormat="false" ht="63.75" hidden="false" customHeight="true" outlineLevel="0" collapsed="false">
      <c r="A9" s="12" t="s">
        <v>69</v>
      </c>
      <c r="B9" s="14" t="s">
        <v>70</v>
      </c>
      <c r="C9" s="13" t="s">
        <v>194</v>
      </c>
      <c r="D9" s="13" t="s">
        <v>195</v>
      </c>
      <c r="E9" s="13" t="s">
        <v>196</v>
      </c>
      <c r="F9" s="13" t="s">
        <v>197</v>
      </c>
      <c r="G9" s="18" t="n">
        <v>7</v>
      </c>
      <c r="H9" s="13" t="s">
        <v>185</v>
      </c>
      <c r="I9" s="18" t="n">
        <v>5</v>
      </c>
      <c r="J9" s="17" t="s">
        <v>179</v>
      </c>
      <c r="K9" s="18" t="n">
        <v>6</v>
      </c>
      <c r="L9" s="13" t="s">
        <v>198</v>
      </c>
      <c r="M9" s="19" t="n">
        <f aca="false">G9*I9*K9</f>
        <v>210</v>
      </c>
      <c r="N9" s="12" t="str">
        <f aca="false">IF(G9&gt;=9,"CRITICAL",IF(AND(G9&gt;=7,M9&gt;=200),"CRITICAL",IF(OR(G9&gt;=7,M9&gt;=150,I9&gt;=7),"HIGH",IF(K9&gt;=8,"MEDIUM","LOW"))))</f>
        <v>CRITICAL</v>
      </c>
      <c r="O9" s="12" t="str">
        <f aca="false">IF(COUNTIF(AM_Standard!$B:$B,A9)&gt;0,"✓","ขาด")</f>
        <v>✓</v>
      </c>
    </row>
    <row r="10" customFormat="false" ht="63.75" hidden="false" customHeight="true" outlineLevel="0" collapsed="false">
      <c r="A10" s="12" t="s">
        <v>74</v>
      </c>
      <c r="B10" s="14" t="s">
        <v>75</v>
      </c>
      <c r="C10" s="13" t="s">
        <v>199</v>
      </c>
      <c r="D10" s="17" t="s">
        <v>200</v>
      </c>
      <c r="E10" s="13" t="s">
        <v>176</v>
      </c>
      <c r="F10" s="13" t="s">
        <v>201</v>
      </c>
      <c r="G10" s="18" t="n">
        <v>7</v>
      </c>
      <c r="H10" s="13" t="s">
        <v>185</v>
      </c>
      <c r="I10" s="18" t="n">
        <v>6</v>
      </c>
      <c r="J10" s="13" t="s">
        <v>202</v>
      </c>
      <c r="K10" s="18" t="n">
        <v>7</v>
      </c>
      <c r="L10" s="13" t="s">
        <v>180</v>
      </c>
      <c r="M10" s="19" t="n">
        <f aca="false">G10*I10*K10</f>
        <v>294</v>
      </c>
      <c r="N10" s="12" t="str">
        <f aca="false">IF(G10&gt;=9,"CRITICAL",IF(AND(G10&gt;=7,M10&gt;=200),"CRITICAL",IF(OR(G10&gt;=7,M10&gt;=150,I10&gt;=7),"HIGH",IF(K10&gt;=8,"MEDIUM","LOW"))))</f>
        <v>CRITICAL</v>
      </c>
      <c r="O10" s="12" t="str">
        <f aca="false">IF(COUNTIF(AM_Standard!$B:$B,A10)&gt;0,"✓","ขาด")</f>
        <v>✓</v>
      </c>
    </row>
    <row r="11" customFormat="false" ht="63.75" hidden="false" customHeight="true" outlineLevel="0" collapsed="false">
      <c r="A11" s="12" t="s">
        <v>79</v>
      </c>
      <c r="B11" s="14" t="s">
        <v>80</v>
      </c>
      <c r="C11" s="13" t="s">
        <v>203</v>
      </c>
      <c r="D11" s="13" t="s">
        <v>204</v>
      </c>
      <c r="E11" s="13" t="s">
        <v>205</v>
      </c>
      <c r="F11" s="13" t="s">
        <v>206</v>
      </c>
      <c r="G11" s="18" t="n">
        <v>7</v>
      </c>
      <c r="H11" s="13" t="s">
        <v>185</v>
      </c>
      <c r="I11" s="18" t="n">
        <v>3</v>
      </c>
      <c r="J11" s="17" t="s">
        <v>193</v>
      </c>
      <c r="K11" s="18" t="n">
        <v>8</v>
      </c>
      <c r="L11" s="13" t="s">
        <v>207</v>
      </c>
      <c r="M11" s="19" t="n">
        <f aca="false">G11*I11*K11</f>
        <v>168</v>
      </c>
      <c r="N11" s="12" t="str">
        <f aca="false">IF(G11&gt;=9,"CRITICAL",IF(AND(G11&gt;=7,M11&gt;=200),"CRITICAL",IF(OR(G11&gt;=7,M11&gt;=150,I11&gt;=7),"HIGH",IF(K11&gt;=8,"MEDIUM","LOW"))))</f>
        <v>HIGH</v>
      </c>
      <c r="O11" s="12" t="str">
        <f aca="false">IF(COUNTIF(AM_Standard!$B:$B,A11)&gt;0,"✓","ขาด")</f>
        <v>✓</v>
      </c>
    </row>
    <row r="12" customFormat="false" ht="63.75" hidden="false" customHeight="true" outlineLevel="0" collapsed="false">
      <c r="A12" s="12" t="s">
        <v>84</v>
      </c>
      <c r="B12" s="14" t="s">
        <v>85</v>
      </c>
      <c r="C12" s="13" t="s">
        <v>208</v>
      </c>
      <c r="D12" s="13" t="s">
        <v>209</v>
      </c>
      <c r="E12" s="13" t="s">
        <v>210</v>
      </c>
      <c r="F12" s="13" t="s">
        <v>191</v>
      </c>
      <c r="G12" s="18" t="n">
        <v>6</v>
      </c>
      <c r="H12" s="13" t="s">
        <v>211</v>
      </c>
      <c r="I12" s="18" t="n">
        <v>4</v>
      </c>
      <c r="J12" s="17" t="s">
        <v>212</v>
      </c>
      <c r="K12" s="18" t="n">
        <v>7</v>
      </c>
      <c r="L12" s="13" t="s">
        <v>180</v>
      </c>
      <c r="M12" s="19" t="n">
        <f aca="false">G12*I12*K12</f>
        <v>168</v>
      </c>
      <c r="N12" s="12" t="str">
        <f aca="false">IF(G12&gt;=9,"CRITICAL",IF(AND(G12&gt;=7,M12&gt;=200),"CRITICAL",IF(OR(G12&gt;=7,M12&gt;=150,I12&gt;=7),"HIGH",IF(K12&gt;=8,"MEDIUM","LOW"))))</f>
        <v>HIGH</v>
      </c>
      <c r="O12" s="12" t="str">
        <f aca="false">IF(COUNTIF(AM_Standard!$B:$B,A12)&gt;0,"✓","ขาด")</f>
        <v>✓</v>
      </c>
    </row>
    <row r="13" customFormat="false" ht="63.75" hidden="false" customHeight="true" outlineLevel="0" collapsed="false">
      <c r="A13" s="12" t="s">
        <v>89</v>
      </c>
      <c r="B13" s="14" t="s">
        <v>90</v>
      </c>
      <c r="C13" s="13" t="s">
        <v>213</v>
      </c>
      <c r="D13" s="13" t="s">
        <v>214</v>
      </c>
      <c r="E13" s="13" t="s">
        <v>215</v>
      </c>
      <c r="F13" s="13" t="s">
        <v>216</v>
      </c>
      <c r="G13" s="18" t="n">
        <v>7</v>
      </c>
      <c r="H13" s="13" t="s">
        <v>185</v>
      </c>
      <c r="I13" s="18" t="n">
        <v>6</v>
      </c>
      <c r="J13" s="17" t="s">
        <v>217</v>
      </c>
      <c r="K13" s="18" t="n">
        <v>7</v>
      </c>
      <c r="L13" s="13" t="s">
        <v>180</v>
      </c>
      <c r="M13" s="19" t="n">
        <f aca="false">G13*I13*K13</f>
        <v>294</v>
      </c>
      <c r="N13" s="12" t="str">
        <f aca="false">IF(G13&gt;=9,"CRITICAL",IF(AND(G13&gt;=7,M13&gt;=200),"CRITICAL",IF(OR(G13&gt;=7,M13&gt;=150,I13&gt;=7),"HIGH",IF(K13&gt;=8,"MEDIUM","LOW"))))</f>
        <v>CRITICAL</v>
      </c>
      <c r="O13" s="12" t="str">
        <f aca="false">IF(COUNTIF(AM_Standard!$B:$B,A13)&gt;0,"✓","ขาด")</f>
        <v>✓</v>
      </c>
    </row>
    <row r="14" customFormat="false" ht="63.75" hidden="false" customHeight="true" outlineLevel="0" collapsed="false">
      <c r="A14" s="12" t="s">
        <v>94</v>
      </c>
      <c r="B14" s="14" t="s">
        <v>95</v>
      </c>
      <c r="C14" s="13" t="s">
        <v>218</v>
      </c>
      <c r="D14" s="13" t="s">
        <v>219</v>
      </c>
      <c r="E14" s="13" t="s">
        <v>220</v>
      </c>
      <c r="F14" s="13" t="s">
        <v>221</v>
      </c>
      <c r="G14" s="18" t="n">
        <v>7</v>
      </c>
      <c r="H14" s="13" t="s">
        <v>185</v>
      </c>
      <c r="I14" s="18" t="n">
        <v>5</v>
      </c>
      <c r="J14" s="17" t="s">
        <v>179</v>
      </c>
      <c r="K14" s="18" t="n">
        <v>7</v>
      </c>
      <c r="L14" s="13" t="s">
        <v>222</v>
      </c>
      <c r="M14" s="19" t="n">
        <f aca="false">G14*I14*K14</f>
        <v>245</v>
      </c>
      <c r="N14" s="12" t="str">
        <f aca="false">IF(G14&gt;=9,"CRITICAL",IF(AND(G14&gt;=7,M14&gt;=200),"CRITICAL",IF(OR(G14&gt;=7,M14&gt;=150,I14&gt;=7),"HIGH",IF(K14&gt;=8,"MEDIUM","LOW"))))</f>
        <v>CRITICAL</v>
      </c>
      <c r="O14" s="12" t="str">
        <f aca="false">IF(COUNTIF(AM_Standard!$B:$B,A14)&gt;0,"✓","ขาด")</f>
        <v>✓</v>
      </c>
    </row>
    <row r="15" customFormat="false" ht="63.75" hidden="false" customHeight="true" outlineLevel="0" collapsed="false">
      <c r="A15" s="12" t="s">
        <v>99</v>
      </c>
      <c r="B15" s="14" t="s">
        <v>100</v>
      </c>
      <c r="C15" s="13" t="s">
        <v>223</v>
      </c>
      <c r="D15" s="13" t="s">
        <v>224</v>
      </c>
      <c r="E15" s="13" t="s">
        <v>225</v>
      </c>
      <c r="F15" s="13" t="s">
        <v>226</v>
      </c>
      <c r="G15" s="18" t="n">
        <v>9</v>
      </c>
      <c r="H15" s="13" t="s">
        <v>227</v>
      </c>
      <c r="I15" s="18" t="n">
        <v>3</v>
      </c>
      <c r="J15" s="17" t="s">
        <v>193</v>
      </c>
      <c r="K15" s="18" t="n">
        <v>7</v>
      </c>
      <c r="L15" s="13" t="s">
        <v>180</v>
      </c>
      <c r="M15" s="19" t="n">
        <f aca="false">G15*I15*K15</f>
        <v>189</v>
      </c>
      <c r="N15" s="12" t="str">
        <f aca="false">IF(G15&gt;=9,"CRITICAL",IF(AND(G15&gt;=7,M15&gt;=200),"CRITICAL",IF(OR(G15&gt;=7,M15&gt;=150,I15&gt;=7),"HIGH",IF(K15&gt;=8,"MEDIUM","LOW"))))</f>
        <v>CRITICAL</v>
      </c>
      <c r="O15" s="12" t="str">
        <f aca="false">IF(COUNTIF(AM_Standard!$B:$B,A15)&gt;0,"✓","ขาด")</f>
        <v>✓</v>
      </c>
    </row>
    <row r="16" customFormat="false" ht="63.75" hidden="false" customHeight="true" outlineLevel="0" collapsed="false">
      <c r="A16" s="12" t="s">
        <v>105</v>
      </c>
      <c r="B16" s="14" t="s">
        <v>106</v>
      </c>
      <c r="C16" s="13" t="s">
        <v>228</v>
      </c>
      <c r="D16" s="13" t="s">
        <v>229</v>
      </c>
      <c r="E16" s="13" t="s">
        <v>205</v>
      </c>
      <c r="F16" s="13" t="s">
        <v>191</v>
      </c>
      <c r="G16" s="18" t="n">
        <v>8</v>
      </c>
      <c r="H16" s="13" t="s">
        <v>230</v>
      </c>
      <c r="I16" s="18" t="n">
        <v>3</v>
      </c>
      <c r="J16" s="17" t="s">
        <v>193</v>
      </c>
      <c r="K16" s="18" t="n">
        <v>9</v>
      </c>
      <c r="L16" s="13" t="s">
        <v>231</v>
      </c>
      <c r="M16" s="19" t="n">
        <f aca="false">G16*I16*K16</f>
        <v>216</v>
      </c>
      <c r="N16" s="12" t="str">
        <f aca="false">IF(G16&gt;=9,"CRITICAL",IF(AND(G16&gt;=7,M16&gt;=200),"CRITICAL",IF(OR(G16&gt;=7,M16&gt;=150,I16&gt;=7),"HIGH",IF(K16&gt;=8,"MEDIUM","LOW"))))</f>
        <v>CRITICAL</v>
      </c>
      <c r="O16" s="12" t="str">
        <f aca="false">IF(COUNTIF(AM_Standard!$B:$B,A16)&gt;0,"✓","ขาด")</f>
        <v>✓</v>
      </c>
    </row>
    <row r="17" customFormat="false" ht="63.75" hidden="false" customHeight="true" outlineLevel="0" collapsed="false">
      <c r="A17" s="12" t="s">
        <v>111</v>
      </c>
      <c r="B17" s="14" t="s">
        <v>112</v>
      </c>
      <c r="C17" s="13" t="s">
        <v>232</v>
      </c>
      <c r="D17" s="13" t="s">
        <v>233</v>
      </c>
      <c r="E17" s="13" t="s">
        <v>234</v>
      </c>
      <c r="F17" s="13" t="s">
        <v>235</v>
      </c>
      <c r="G17" s="18" t="n">
        <v>8</v>
      </c>
      <c r="H17" s="13" t="s">
        <v>230</v>
      </c>
      <c r="I17" s="18" t="n">
        <v>4</v>
      </c>
      <c r="J17" s="17" t="s">
        <v>212</v>
      </c>
      <c r="K17" s="18" t="n">
        <v>8</v>
      </c>
      <c r="L17" s="13" t="s">
        <v>207</v>
      </c>
      <c r="M17" s="19" t="n">
        <f aca="false">G17*I17*K17</f>
        <v>256</v>
      </c>
      <c r="N17" s="12" t="str">
        <f aca="false">IF(G17&gt;=9,"CRITICAL",IF(AND(G17&gt;=7,M17&gt;=200),"CRITICAL",IF(OR(G17&gt;=7,M17&gt;=150,I17&gt;=7),"HIGH",IF(K17&gt;=8,"MEDIUM","LOW"))))</f>
        <v>CRITICAL</v>
      </c>
      <c r="O17" s="12" t="str">
        <f aca="false">IF(COUNTIF(AM_Standard!$B:$B,A17)&gt;0,"✓","ขาด")</f>
        <v>✓</v>
      </c>
    </row>
    <row r="18" customFormat="false" ht="63.75" hidden="false" customHeight="true" outlineLevel="0" collapsed="false">
      <c r="A18" s="12" t="s">
        <v>116</v>
      </c>
      <c r="B18" s="14" t="s">
        <v>117</v>
      </c>
      <c r="C18" s="13" t="s">
        <v>236</v>
      </c>
      <c r="D18" s="13" t="s">
        <v>237</v>
      </c>
      <c r="E18" s="13" t="s">
        <v>210</v>
      </c>
      <c r="F18" s="13" t="s">
        <v>221</v>
      </c>
      <c r="G18" s="18" t="n">
        <v>5</v>
      </c>
      <c r="H18" s="13" t="s">
        <v>171</v>
      </c>
      <c r="I18" s="18" t="n">
        <v>5</v>
      </c>
      <c r="J18" s="17" t="s">
        <v>179</v>
      </c>
      <c r="K18" s="18" t="n">
        <v>7</v>
      </c>
      <c r="L18" s="13" t="s">
        <v>180</v>
      </c>
      <c r="M18" s="19" t="n">
        <f aca="false">G18*I18*K18</f>
        <v>175</v>
      </c>
      <c r="N18" s="12" t="str">
        <f aca="false">IF(G18&gt;=9,"CRITICAL",IF(AND(G18&gt;=7,M18&gt;=200),"CRITICAL",IF(OR(G18&gt;=7,M18&gt;=150,I18&gt;=7),"HIGH",IF(K18&gt;=8,"MEDIUM","LOW"))))</f>
        <v>HIGH</v>
      </c>
      <c r="O18" s="12" t="str">
        <f aca="false">IF(COUNTIF(AM_Standard!$B:$B,A18)&gt;0,"✓","ขาด")</f>
        <v>✓</v>
      </c>
    </row>
    <row r="19" customFormat="false" ht="63.75" hidden="false" customHeight="true" outlineLevel="0" collapsed="false">
      <c r="A19" s="12" t="s">
        <v>121</v>
      </c>
      <c r="B19" s="14" t="s">
        <v>122</v>
      </c>
      <c r="C19" s="13" t="s">
        <v>238</v>
      </c>
      <c r="D19" s="13" t="s">
        <v>239</v>
      </c>
      <c r="E19" s="13" t="s">
        <v>210</v>
      </c>
      <c r="F19" s="13" t="s">
        <v>191</v>
      </c>
      <c r="G19" s="18" t="n">
        <v>6</v>
      </c>
      <c r="H19" s="13" t="s">
        <v>240</v>
      </c>
      <c r="I19" s="18" t="n">
        <v>4</v>
      </c>
      <c r="J19" s="17" t="s">
        <v>212</v>
      </c>
      <c r="K19" s="18" t="n">
        <v>6</v>
      </c>
      <c r="L19" s="13" t="s">
        <v>241</v>
      </c>
      <c r="M19" s="19" t="n">
        <f aca="false">G19*I19*K19</f>
        <v>144</v>
      </c>
      <c r="N19" s="12" t="str">
        <f aca="false">IF(G19&gt;=9,"CRITICAL",IF(AND(G19&gt;=7,M19&gt;=200),"CRITICAL",IF(OR(G19&gt;=7,M19&gt;=150,I19&gt;=7),"HIGH",IF(K19&gt;=8,"MEDIUM","LOW"))))</f>
        <v>LOW</v>
      </c>
      <c r="O19" s="12" t="str">
        <f aca="false">IF(COUNTIF(AM_Standard!$B:$B,A19)&gt;0,"✓","ขาด")</f>
        <v>✓</v>
      </c>
    </row>
    <row r="20" customFormat="false" ht="63.75" hidden="false" customHeight="true" outlineLevel="0" collapsed="false">
      <c r="A20" s="12" t="s">
        <v>126</v>
      </c>
      <c r="B20" s="14" t="s">
        <v>127</v>
      </c>
      <c r="C20" s="13" t="s">
        <v>242</v>
      </c>
      <c r="D20" s="17" t="s">
        <v>243</v>
      </c>
      <c r="E20" s="13" t="s">
        <v>205</v>
      </c>
      <c r="F20" s="13" t="s">
        <v>191</v>
      </c>
      <c r="G20" s="18" t="n">
        <v>8</v>
      </c>
      <c r="H20" s="13" t="s">
        <v>230</v>
      </c>
      <c r="I20" s="18" t="n">
        <v>3</v>
      </c>
      <c r="J20" s="17" t="s">
        <v>193</v>
      </c>
      <c r="K20" s="18" t="n">
        <v>9</v>
      </c>
      <c r="L20" s="13" t="s">
        <v>231</v>
      </c>
      <c r="M20" s="19" t="n">
        <f aca="false">G20*I20*K20</f>
        <v>216</v>
      </c>
      <c r="N20" s="12" t="str">
        <f aca="false">IF(G20&gt;=9,"CRITICAL",IF(AND(G20&gt;=7,M20&gt;=200),"CRITICAL",IF(OR(G20&gt;=7,M20&gt;=150,I20&gt;=7),"HIGH",IF(K20&gt;=8,"MEDIUM","LOW"))))</f>
        <v>CRITICAL</v>
      </c>
      <c r="O20" s="12" t="str">
        <f aca="false">IF(COUNTIF(AM_Standard!$B:$B,A20)&gt;0,"✓","ขาด")</f>
        <v>✓</v>
      </c>
    </row>
    <row r="21" customFormat="false" ht="63.75" hidden="false" customHeight="true" outlineLevel="0" collapsed="false">
      <c r="A21" s="12" t="s">
        <v>132</v>
      </c>
      <c r="B21" s="14" t="s">
        <v>133</v>
      </c>
      <c r="C21" s="13" t="s">
        <v>244</v>
      </c>
      <c r="D21" s="13" t="s">
        <v>245</v>
      </c>
      <c r="E21" s="13" t="s">
        <v>246</v>
      </c>
      <c r="F21" s="13" t="s">
        <v>216</v>
      </c>
      <c r="G21" s="18" t="n">
        <v>7</v>
      </c>
      <c r="H21" s="13" t="s">
        <v>185</v>
      </c>
      <c r="I21" s="18" t="n">
        <v>4</v>
      </c>
      <c r="J21" s="17" t="s">
        <v>212</v>
      </c>
      <c r="K21" s="18" t="n">
        <v>7</v>
      </c>
      <c r="L21" s="13" t="s">
        <v>247</v>
      </c>
      <c r="M21" s="19" t="n">
        <f aca="false">G21*I21*K21</f>
        <v>196</v>
      </c>
      <c r="N21" s="12" t="str">
        <f aca="false">IF(G21&gt;=9,"CRITICAL",IF(AND(G21&gt;=7,M21&gt;=200),"CRITICAL",IF(OR(G21&gt;=7,M21&gt;=150,I21&gt;=7),"HIGH",IF(K21&gt;=8,"MEDIUM","LOW"))))</f>
        <v>HIGH</v>
      </c>
      <c r="O21" s="12" t="str">
        <f aca="false">IF(COUNTIF(AM_Standard!$B:$B,A21)&gt;0,"✓","ขาด")</f>
        <v>✓</v>
      </c>
    </row>
    <row r="22" customFormat="false" ht="63.75" hidden="false" customHeight="true" outlineLevel="0" collapsed="false">
      <c r="A22" s="12" t="s">
        <v>137</v>
      </c>
      <c r="B22" s="14" t="s">
        <v>138</v>
      </c>
      <c r="C22" s="13" t="s">
        <v>248</v>
      </c>
      <c r="D22" s="13" t="s">
        <v>249</v>
      </c>
      <c r="E22" s="13" t="s">
        <v>250</v>
      </c>
      <c r="F22" s="13" t="s">
        <v>191</v>
      </c>
      <c r="G22" s="18" t="n">
        <v>6</v>
      </c>
      <c r="H22" s="13" t="s">
        <v>178</v>
      </c>
      <c r="I22" s="18" t="n">
        <v>5</v>
      </c>
      <c r="J22" s="17" t="s">
        <v>179</v>
      </c>
      <c r="K22" s="18" t="n">
        <v>8</v>
      </c>
      <c r="L22" s="13" t="s">
        <v>251</v>
      </c>
      <c r="M22" s="19" t="n">
        <f aca="false">G22*I22*K22</f>
        <v>240</v>
      </c>
      <c r="N22" s="12" t="str">
        <f aca="false">IF(G22&gt;=9,"CRITICAL",IF(AND(G22&gt;=7,M22&gt;=200),"CRITICAL",IF(OR(G22&gt;=7,M22&gt;=150,I22&gt;=7),"HIGH",IF(K22&gt;=8,"MEDIUM","LOW"))))</f>
        <v>HIGH</v>
      </c>
      <c r="O22" s="12" t="str">
        <f aca="false">IF(COUNTIF(AM_Standard!$B:$B,A22)&gt;0,"✓","ขาด")</f>
        <v>✓</v>
      </c>
    </row>
    <row r="23" customFormat="false" ht="63.75" hidden="false" customHeight="true" outlineLevel="0" collapsed="false">
      <c r="A23" s="12" t="s">
        <v>143</v>
      </c>
      <c r="B23" s="14" t="s">
        <v>144</v>
      </c>
      <c r="C23" s="13" t="s">
        <v>252</v>
      </c>
      <c r="D23" s="13" t="s">
        <v>253</v>
      </c>
      <c r="E23" s="13" t="s">
        <v>254</v>
      </c>
      <c r="F23" s="13" t="s">
        <v>221</v>
      </c>
      <c r="G23" s="18" t="n">
        <v>6</v>
      </c>
      <c r="H23" s="13" t="s">
        <v>178</v>
      </c>
      <c r="I23" s="18" t="n">
        <v>5</v>
      </c>
      <c r="J23" s="17" t="s">
        <v>179</v>
      </c>
      <c r="K23" s="18" t="n">
        <v>7</v>
      </c>
      <c r="L23" s="13" t="s">
        <v>180</v>
      </c>
      <c r="M23" s="19" t="n">
        <f aca="false">G23*I23*K23</f>
        <v>210</v>
      </c>
      <c r="N23" s="12" t="str">
        <f aca="false">IF(G23&gt;=9,"CRITICAL",IF(AND(G23&gt;=7,M23&gt;=200),"CRITICAL",IF(OR(G23&gt;=7,M23&gt;=150,I23&gt;=7),"HIGH",IF(K23&gt;=8,"MEDIUM","LOW"))))</f>
        <v>HIGH</v>
      </c>
      <c r="O23" s="12" t="str">
        <f aca="false">IF(COUNTIF(AM_Standard!$B:$B,A23)&gt;0,"✓","ขาด")</f>
        <v>✓</v>
      </c>
    </row>
    <row r="24" customFormat="false" ht="63.75" hidden="false" customHeight="true" outlineLevel="0" collapsed="false">
      <c r="A24" s="12" t="s">
        <v>148</v>
      </c>
      <c r="B24" s="14" t="s">
        <v>149</v>
      </c>
      <c r="C24" s="13" t="s">
        <v>255</v>
      </c>
      <c r="D24" s="13" t="s">
        <v>256</v>
      </c>
      <c r="E24" s="13" t="s">
        <v>257</v>
      </c>
      <c r="F24" s="13" t="s">
        <v>258</v>
      </c>
      <c r="G24" s="18" t="n">
        <v>6</v>
      </c>
      <c r="H24" s="13" t="s">
        <v>178</v>
      </c>
      <c r="I24" s="18" t="n">
        <v>5</v>
      </c>
      <c r="J24" s="17" t="s">
        <v>179</v>
      </c>
      <c r="K24" s="18" t="n">
        <v>7</v>
      </c>
      <c r="L24" s="13" t="s">
        <v>180</v>
      </c>
      <c r="M24" s="19" t="n">
        <f aca="false">G24*I24*K24</f>
        <v>210</v>
      </c>
      <c r="N24" s="12" t="str">
        <f aca="false">IF(G24&gt;=9,"CRITICAL",IF(AND(G24&gt;=7,M24&gt;=200),"CRITICAL",IF(OR(G24&gt;=7,M24&gt;=150,I24&gt;=7),"HIGH",IF(K24&gt;=8,"MEDIUM","LOW"))))</f>
        <v>HIGH</v>
      </c>
      <c r="O24" s="12" t="str">
        <f aca="false">IF(COUNTIF(AM_Standard!$B:$B,A24)&gt;0,"✓","ขาด")</f>
        <v>✓</v>
      </c>
    </row>
    <row r="26" customFormat="false" ht="22.35" hidden="false" customHeight="false" outlineLevel="0" collapsed="false">
      <c r="M26" s="12" t="s">
        <v>259</v>
      </c>
      <c r="N26" s="19" t="n">
        <f aca="false">COUNTIF(N5:N24,"CRITICAL")</f>
        <v>10</v>
      </c>
    </row>
    <row r="27" customFormat="false" ht="15" hidden="false" customHeight="false" outlineLevel="0" collapsed="false">
      <c r="M27" s="12" t="s">
        <v>260</v>
      </c>
      <c r="N27" s="19" t="n">
        <f aca="false">COUNTIF(N5:N24,"HIGH")</f>
        <v>9</v>
      </c>
    </row>
    <row r="28" customFormat="false" ht="15" hidden="false" customHeight="false" outlineLevel="0" collapsed="false">
      <c r="M28" s="12" t="s">
        <v>261</v>
      </c>
      <c r="N28" s="19" t="n">
        <f aca="false">COUNTIF(N5:N24,"MEDIUM")</f>
        <v>0</v>
      </c>
    </row>
    <row r="29" customFormat="false" ht="15" hidden="false" customHeight="false" outlineLevel="0" collapsed="false">
      <c r="M29" s="12" t="s">
        <v>262</v>
      </c>
      <c r="N29" s="19" t="n">
        <f aca="false">COUNTIF(N5:N24,"LOW")</f>
        <v>1</v>
      </c>
    </row>
    <row r="30" customFormat="false" ht="31.3" hidden="false" customHeight="false" outlineLevel="0" collapsed="false">
      <c r="M30" s="12" t="s">
        <v>263</v>
      </c>
      <c r="N30" s="19" t="n">
        <f aca="false">COUNTIF(O5:O24,"ขาด")</f>
        <v>0</v>
      </c>
    </row>
  </sheetData>
  <mergeCells count="2">
    <mergeCell ref="A1:O1"/>
    <mergeCell ref="A2:O2"/>
  </mergeCells>
  <conditionalFormatting sqref="N5:N24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conditionalFormatting sqref="O5:O24">
    <cfRule type="cellIs" priority="6" operator="equal" aboveAverage="0" equalAverage="0" bottom="0" percent="0" rank="0" text="" dxfId="4">
      <formula>"ขาด"</formula>
    </cfRule>
  </conditionalFormatting>
  <conditionalFormatting sqref="M26:M29">
    <cfRule type="cellIs" priority="7" operator="equal" aboveAverage="0" equalAverage="0" bottom="0" percent="0" rank="0" text="" dxfId="0">
      <formula>"CRITICAL"</formula>
    </cfRule>
    <cfRule type="cellIs" priority="8" operator="equal" aboveAverage="0" equalAverage="0" bottom="0" percent="0" rank="0" text="" dxfId="1">
      <formula>"HIGH"</formula>
    </cfRule>
    <cfRule type="cellIs" priority="9" operator="equal" aboveAverage="0" equalAverage="0" bottom="0" percent="0" rank="0" text="" dxfId="2">
      <formula>"MEDIUM"</formula>
    </cfRule>
    <cfRule type="cellIs" priority="10" operator="equal" aboveAverage="0" equalAverage="0" bottom="0" percent="0" rank="0" text="" dxfId="3">
      <formula>"LOW"</formula>
    </cfRule>
  </conditionalFormatting>
  <dataValidations count="1">
    <dataValidation allowBlank="false" error="ใส่ 1–10" errorStyle="stop" errorTitle="S/O/D" operator="between" showDropDown="false" showErrorMessage="false" showInputMessage="false" sqref="G5:G24 I5:I24 K5:K24" type="whole">
      <formula1>1</formula1>
      <formula2>10</formula2>
    </dataValidation>
  </dataValidations>
  <printOptions headings="false" gridLines="false" gridLinesSet="true" horizontalCentered="true" verticalCentered="false"/>
  <pageMargins left="0.3" right="0.3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26"/>
    <col collapsed="false" customWidth="true" hidden="false" outlineLevel="0" max="4" min="4" style="0" width="6"/>
    <col collapsed="false" customWidth="true" hidden="false" outlineLevel="0" max="5" min="5" style="0" width="40"/>
    <col collapsed="false" customWidth="true" hidden="false" outlineLevel="0" max="6" min="6" style="0" width="26"/>
    <col collapsed="false" customWidth="true" hidden="false" outlineLevel="0" max="7" min="7" style="0" width="30"/>
    <col collapsed="false" customWidth="true" hidden="false" outlineLevel="0" max="8" min="8" style="0" width="13"/>
    <col collapsed="false" customWidth="true" hidden="false" outlineLevel="0" max="9" min="9" style="0" width="7"/>
    <col collapsed="false" customWidth="true" hidden="false" outlineLevel="0" max="10" min="10" style="0" width="11"/>
    <col collapsed="false" customWidth="true" hidden="false" outlineLevel="0" max="11" min="11" style="0" width="26"/>
    <col collapsed="false" customWidth="true" hidden="false" outlineLevel="0" max="12" min="12" style="0" width="28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5"/>
  </cols>
  <sheetData>
    <row r="1" customFormat="false" ht="30" hidden="false" customHeight="true" outlineLevel="0" collapsed="false">
      <c r="A1" s="1" t="s">
        <v>264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1.9" hidden="false" customHeight="false" outlineLevel="0" collapsed="false">
      <c r="A2" s="2" t="s">
        <v>265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36" hidden="false" customHeight="true" outlineLevel="0" collapsed="false">
      <c r="A4" s="10" t="s">
        <v>266</v>
      </c>
      <c r="B4" s="10" t="s">
        <v>267</v>
      </c>
      <c r="C4" s="10" t="s">
        <v>268</v>
      </c>
      <c r="D4" s="10" t="s">
        <v>22</v>
      </c>
      <c r="E4" s="10" t="s">
        <v>269</v>
      </c>
      <c r="F4" s="10" t="s">
        <v>270</v>
      </c>
      <c r="G4" s="10" t="s">
        <v>271</v>
      </c>
      <c r="H4" s="10" t="s">
        <v>272</v>
      </c>
      <c r="I4" s="10" t="s">
        <v>273</v>
      </c>
      <c r="J4" s="10" t="s">
        <v>24</v>
      </c>
      <c r="K4" s="10" t="s">
        <v>274</v>
      </c>
      <c r="L4" s="10" t="s">
        <v>275</v>
      </c>
      <c r="M4" s="10" t="s">
        <v>276</v>
      </c>
      <c r="N4" s="10" t="s">
        <v>277</v>
      </c>
      <c r="O4" s="10" t="s">
        <v>43</v>
      </c>
    </row>
    <row r="5" customFormat="false" ht="21.75" hidden="false" customHeight="true" outlineLevel="0" collapsed="false">
      <c r="A5" s="11" t="s">
        <v>44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customFormat="false" ht="78" hidden="false" customHeight="true" outlineLevel="0" collapsed="false">
      <c r="A6" s="16" t="n">
        <v>1</v>
      </c>
      <c r="B6" s="12" t="s">
        <v>52</v>
      </c>
      <c r="C6" s="14" t="s">
        <v>278</v>
      </c>
      <c r="D6" s="20" t="s">
        <v>279</v>
      </c>
      <c r="E6" s="13" t="s">
        <v>280</v>
      </c>
      <c r="F6" s="13" t="s">
        <v>281</v>
      </c>
      <c r="G6" s="13" t="s">
        <v>282</v>
      </c>
      <c r="H6" s="16" t="s">
        <v>283</v>
      </c>
      <c r="I6" s="16" t="n">
        <v>1</v>
      </c>
      <c r="J6" s="12" t="str">
        <f aca="false">IFERROR(INDEX(FMEA!$N$5:$N$24,MATCH(B6,FMEA!$A$5:$A$24,0)),"—")</f>
        <v>HIGH</v>
      </c>
      <c r="K6" s="17" t="s">
        <v>284</v>
      </c>
      <c r="L6" s="13" t="s">
        <v>285</v>
      </c>
      <c r="M6" s="16" t="s">
        <v>286</v>
      </c>
      <c r="N6" s="16" t="s">
        <v>287</v>
      </c>
      <c r="O6" s="13" t="s">
        <v>57</v>
      </c>
    </row>
    <row r="7" customFormat="false" ht="78" hidden="false" customHeight="true" outlineLevel="0" collapsed="false">
      <c r="A7" s="16" t="n">
        <v>2</v>
      </c>
      <c r="B7" s="12" t="s">
        <v>45</v>
      </c>
      <c r="C7" s="14" t="s">
        <v>288</v>
      </c>
      <c r="D7" s="20" t="s">
        <v>289</v>
      </c>
      <c r="E7" s="13" t="s">
        <v>290</v>
      </c>
      <c r="F7" s="13" t="s">
        <v>291</v>
      </c>
      <c r="G7" s="17" t="s">
        <v>292</v>
      </c>
      <c r="H7" s="16" t="s">
        <v>293</v>
      </c>
      <c r="I7" s="16" t="n">
        <v>10</v>
      </c>
      <c r="J7" s="12" t="str">
        <f aca="false">IFERROR(INDEX(FMEA!$N$5:$N$24,MATCH(B7,FMEA!$A$5:$A$24,0)),"—")</f>
        <v>HIGH</v>
      </c>
      <c r="K7" s="17" t="s">
        <v>294</v>
      </c>
      <c r="L7" s="13" t="s">
        <v>295</v>
      </c>
      <c r="M7" s="21" t="s">
        <v>296</v>
      </c>
      <c r="N7" s="16" t="s">
        <v>297</v>
      </c>
      <c r="O7" s="13" t="s">
        <v>298</v>
      </c>
    </row>
    <row r="8" customFormat="false" ht="21.75" hidden="false" customHeight="true" outlineLevel="0" collapsed="false">
      <c r="A8" s="11" t="s">
        <v>58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customFormat="false" ht="78" hidden="false" customHeight="true" outlineLevel="0" collapsed="false">
      <c r="A9" s="16" t="n">
        <v>3</v>
      </c>
      <c r="B9" s="12" t="s">
        <v>59</v>
      </c>
      <c r="C9" s="14" t="s">
        <v>299</v>
      </c>
      <c r="D9" s="22" t="s">
        <v>300</v>
      </c>
      <c r="E9" s="17" t="s">
        <v>301</v>
      </c>
      <c r="F9" s="13" t="s">
        <v>302</v>
      </c>
      <c r="G9" s="17" t="s">
        <v>303</v>
      </c>
      <c r="H9" s="21" t="s">
        <v>304</v>
      </c>
      <c r="I9" s="16" t="n">
        <v>1</v>
      </c>
      <c r="J9" s="12" t="str">
        <f aca="false">IFERROR(INDEX(FMEA!$N$5:$N$24,MATCH(B9,FMEA!$A$5:$A$24,0)),"—")</f>
        <v>CRITICAL</v>
      </c>
      <c r="K9" s="17" t="s">
        <v>305</v>
      </c>
      <c r="L9" s="13" t="s">
        <v>306</v>
      </c>
      <c r="M9" s="16" t="s">
        <v>286</v>
      </c>
      <c r="N9" s="16" t="s">
        <v>307</v>
      </c>
      <c r="O9" s="13" t="s">
        <v>308</v>
      </c>
    </row>
    <row r="10" customFormat="false" ht="78" hidden="false" customHeight="true" outlineLevel="0" collapsed="false">
      <c r="A10" s="16" t="n">
        <v>4</v>
      </c>
      <c r="B10" s="12" t="s">
        <v>64</v>
      </c>
      <c r="C10" s="14" t="s">
        <v>309</v>
      </c>
      <c r="D10" s="20" t="s">
        <v>289</v>
      </c>
      <c r="E10" s="13" t="s">
        <v>310</v>
      </c>
      <c r="F10" s="13" t="s">
        <v>67</v>
      </c>
      <c r="G10" s="17" t="s">
        <v>311</v>
      </c>
      <c r="H10" s="21" t="s">
        <v>304</v>
      </c>
      <c r="I10" s="16" t="n">
        <v>0.5</v>
      </c>
      <c r="J10" s="12" t="str">
        <f aca="false">IFERROR(INDEX(FMEA!$N$5:$N$24,MATCH(B10,FMEA!$A$5:$A$24,0)),"—")</f>
        <v>CRITICAL</v>
      </c>
      <c r="K10" s="17" t="s">
        <v>312</v>
      </c>
      <c r="L10" s="13" t="s">
        <v>313</v>
      </c>
      <c r="M10" s="16" t="s">
        <v>286</v>
      </c>
      <c r="N10" s="16" t="s">
        <v>314</v>
      </c>
      <c r="O10" s="13" t="s">
        <v>68</v>
      </c>
    </row>
    <row r="11" customFormat="false" ht="78" hidden="false" customHeight="true" outlineLevel="0" collapsed="false">
      <c r="A11" s="16" t="n">
        <v>5</v>
      </c>
      <c r="B11" s="12" t="s">
        <v>69</v>
      </c>
      <c r="C11" s="14" t="s">
        <v>315</v>
      </c>
      <c r="D11" s="20" t="s">
        <v>289</v>
      </c>
      <c r="E11" s="13" t="s">
        <v>316</v>
      </c>
      <c r="F11" s="13" t="s">
        <v>317</v>
      </c>
      <c r="G11" s="17" t="s">
        <v>318</v>
      </c>
      <c r="H11" s="16" t="s">
        <v>283</v>
      </c>
      <c r="I11" s="16" t="n">
        <v>0.5</v>
      </c>
      <c r="J11" s="12" t="str">
        <f aca="false">IFERROR(INDEX(FMEA!$N$5:$N$24,MATCH(B11,FMEA!$A$5:$A$24,0)),"—")</f>
        <v>CRITICAL</v>
      </c>
      <c r="K11" s="13" t="s">
        <v>319</v>
      </c>
      <c r="L11" s="13" t="s">
        <v>320</v>
      </c>
      <c r="M11" s="16" t="s">
        <v>286</v>
      </c>
      <c r="N11" s="16" t="s">
        <v>321</v>
      </c>
      <c r="O11" s="13" t="s">
        <v>322</v>
      </c>
    </row>
    <row r="12" customFormat="false" ht="78" hidden="false" customHeight="true" outlineLevel="0" collapsed="false">
      <c r="A12" s="16" t="n">
        <v>6</v>
      </c>
      <c r="B12" s="12" t="s">
        <v>74</v>
      </c>
      <c r="C12" s="14" t="s">
        <v>323</v>
      </c>
      <c r="D12" s="23" t="s">
        <v>324</v>
      </c>
      <c r="E12" s="13" t="s">
        <v>325</v>
      </c>
      <c r="F12" s="13" t="s">
        <v>326</v>
      </c>
      <c r="G12" s="17" t="s">
        <v>327</v>
      </c>
      <c r="H12" s="21" t="s">
        <v>304</v>
      </c>
      <c r="I12" s="16" t="n">
        <v>0.5</v>
      </c>
      <c r="J12" s="12" t="str">
        <f aca="false">IFERROR(INDEX(FMEA!$N$5:$N$24,MATCH(B12,FMEA!$A$5:$A$24,0)),"—")</f>
        <v>CRITICAL</v>
      </c>
      <c r="K12" s="17" t="s">
        <v>328</v>
      </c>
      <c r="L12" s="13" t="s">
        <v>329</v>
      </c>
      <c r="M12" s="16" t="s">
        <v>286</v>
      </c>
      <c r="N12" s="16" t="s">
        <v>330</v>
      </c>
      <c r="O12" s="13" t="s">
        <v>78</v>
      </c>
    </row>
    <row r="13" customFormat="false" ht="78" hidden="false" customHeight="true" outlineLevel="0" collapsed="false">
      <c r="A13" s="16" t="n">
        <v>7</v>
      </c>
      <c r="B13" s="12" t="s">
        <v>84</v>
      </c>
      <c r="C13" s="14" t="s">
        <v>331</v>
      </c>
      <c r="D13" s="20" t="s">
        <v>289</v>
      </c>
      <c r="E13" s="13" t="s">
        <v>332</v>
      </c>
      <c r="F13" s="17" t="s">
        <v>333</v>
      </c>
      <c r="G13" s="13" t="s">
        <v>334</v>
      </c>
      <c r="H13" s="16" t="s">
        <v>283</v>
      </c>
      <c r="I13" s="16" t="n">
        <v>0.5</v>
      </c>
      <c r="J13" s="12" t="str">
        <f aca="false">IFERROR(INDEX(FMEA!$N$5:$N$24,MATCH(B13,FMEA!$A$5:$A$24,0)),"—")</f>
        <v>HIGH</v>
      </c>
      <c r="K13" s="13" t="s">
        <v>335</v>
      </c>
      <c r="L13" s="13" t="s">
        <v>336</v>
      </c>
      <c r="M13" s="16" t="s">
        <v>286</v>
      </c>
      <c r="N13" s="16" t="s">
        <v>337</v>
      </c>
      <c r="O13" s="13" t="s">
        <v>338</v>
      </c>
    </row>
    <row r="14" customFormat="false" ht="78" hidden="false" customHeight="true" outlineLevel="0" collapsed="false">
      <c r="A14" s="16" t="n">
        <v>8</v>
      </c>
      <c r="B14" s="12" t="s">
        <v>84</v>
      </c>
      <c r="C14" s="14" t="s">
        <v>339</v>
      </c>
      <c r="D14" s="20" t="s">
        <v>289</v>
      </c>
      <c r="E14" s="13" t="s">
        <v>340</v>
      </c>
      <c r="F14" s="13" t="s">
        <v>341</v>
      </c>
      <c r="G14" s="13" t="s">
        <v>342</v>
      </c>
      <c r="H14" s="21" t="s">
        <v>343</v>
      </c>
      <c r="I14" s="16" t="n">
        <v>0.5</v>
      </c>
      <c r="J14" s="12" t="str">
        <f aca="false">IFERROR(INDEX(FMEA!$N$5:$N$24,MATCH(B14,FMEA!$A$5:$A$24,0)),"—")</f>
        <v>HIGH</v>
      </c>
      <c r="K14" s="13" t="s">
        <v>319</v>
      </c>
      <c r="L14" s="13" t="s">
        <v>344</v>
      </c>
      <c r="M14" s="16" t="s">
        <v>286</v>
      </c>
      <c r="N14" s="16" t="s">
        <v>345</v>
      </c>
      <c r="O14" s="13" t="s">
        <v>346</v>
      </c>
    </row>
    <row r="15" customFormat="false" ht="78" hidden="false" customHeight="true" outlineLevel="0" collapsed="false">
      <c r="A15" s="16" t="n">
        <v>9</v>
      </c>
      <c r="B15" s="12" t="s">
        <v>94</v>
      </c>
      <c r="C15" s="14" t="s">
        <v>347</v>
      </c>
      <c r="D15" s="20" t="s">
        <v>289</v>
      </c>
      <c r="E15" s="13" t="s">
        <v>348</v>
      </c>
      <c r="F15" s="13" t="s">
        <v>349</v>
      </c>
      <c r="G15" s="17" t="s">
        <v>350</v>
      </c>
      <c r="H15" s="16" t="s">
        <v>283</v>
      </c>
      <c r="I15" s="16" t="n">
        <v>1</v>
      </c>
      <c r="J15" s="12" t="str">
        <f aca="false">IFERROR(INDEX(FMEA!$N$5:$N$24,MATCH(B15,FMEA!$A$5:$A$24,0)),"—")</f>
        <v>CRITICAL</v>
      </c>
      <c r="K15" s="17" t="s">
        <v>351</v>
      </c>
      <c r="L15" s="13" t="s">
        <v>352</v>
      </c>
      <c r="M15" s="16" t="s">
        <v>286</v>
      </c>
      <c r="N15" s="16" t="s">
        <v>353</v>
      </c>
      <c r="O15" s="13" t="s">
        <v>98</v>
      </c>
    </row>
    <row r="16" customFormat="false" ht="78" hidden="false" customHeight="true" outlineLevel="0" collapsed="false">
      <c r="A16" s="16" t="n">
        <v>10</v>
      </c>
      <c r="B16" s="12" t="s">
        <v>89</v>
      </c>
      <c r="C16" s="14" t="s">
        <v>354</v>
      </c>
      <c r="D16" s="20" t="s">
        <v>289</v>
      </c>
      <c r="E16" s="13" t="s">
        <v>355</v>
      </c>
      <c r="F16" s="13" t="s">
        <v>356</v>
      </c>
      <c r="G16" s="13" t="s">
        <v>357</v>
      </c>
      <c r="H16" s="21" t="s">
        <v>304</v>
      </c>
      <c r="I16" s="16" t="n">
        <v>0.5</v>
      </c>
      <c r="J16" s="12" t="str">
        <f aca="false">IFERROR(INDEX(FMEA!$N$5:$N$24,MATCH(B16,FMEA!$A$5:$A$24,0)),"—")</f>
        <v>CRITICAL</v>
      </c>
      <c r="K16" s="13" t="s">
        <v>319</v>
      </c>
      <c r="L16" s="13" t="s">
        <v>358</v>
      </c>
      <c r="M16" s="16" t="s">
        <v>286</v>
      </c>
      <c r="N16" s="16" t="s">
        <v>359</v>
      </c>
      <c r="O16" s="13" t="s">
        <v>322</v>
      </c>
    </row>
    <row r="17" customFormat="false" ht="78" hidden="false" customHeight="true" outlineLevel="0" collapsed="false">
      <c r="A17" s="16" t="n">
        <v>11</v>
      </c>
      <c r="B17" s="12" t="s">
        <v>99</v>
      </c>
      <c r="C17" s="14" t="s">
        <v>360</v>
      </c>
      <c r="D17" s="24" t="s">
        <v>361</v>
      </c>
      <c r="E17" s="17" t="s">
        <v>362</v>
      </c>
      <c r="F17" s="13" t="s">
        <v>363</v>
      </c>
      <c r="G17" s="13" t="s">
        <v>364</v>
      </c>
      <c r="H17" s="16" t="s">
        <v>365</v>
      </c>
      <c r="I17" s="16" t="n">
        <v>3</v>
      </c>
      <c r="J17" s="12" t="str">
        <f aca="false">IFERROR(INDEX(FMEA!$N$5:$N$24,MATCH(B17,FMEA!$A$5:$A$24,0)),"—")</f>
        <v>CRITICAL</v>
      </c>
      <c r="K17" s="17" t="s">
        <v>366</v>
      </c>
      <c r="L17" s="13" t="s">
        <v>367</v>
      </c>
      <c r="M17" s="16" t="s">
        <v>286</v>
      </c>
      <c r="N17" s="16" t="s">
        <v>368</v>
      </c>
      <c r="O17" s="13" t="s">
        <v>369</v>
      </c>
    </row>
    <row r="18" customFormat="false" ht="78" hidden="false" customHeight="true" outlineLevel="0" collapsed="false">
      <c r="A18" s="16" t="n">
        <v>12</v>
      </c>
      <c r="B18" s="12" t="s">
        <v>59</v>
      </c>
      <c r="C18" s="14" t="s">
        <v>370</v>
      </c>
      <c r="D18" s="20" t="s">
        <v>289</v>
      </c>
      <c r="E18" s="13" t="s">
        <v>371</v>
      </c>
      <c r="F18" s="13" t="s">
        <v>372</v>
      </c>
      <c r="G18" s="17" t="s">
        <v>373</v>
      </c>
      <c r="H18" s="16" t="s">
        <v>293</v>
      </c>
      <c r="I18" s="16" t="n">
        <v>1</v>
      </c>
      <c r="J18" s="12" t="str">
        <f aca="false">IFERROR(INDEX(FMEA!$N$5:$N$24,MATCH(B18,FMEA!$A$5:$A$24,0)),"—")</f>
        <v>CRITICAL</v>
      </c>
      <c r="K18" s="13" t="s">
        <v>319</v>
      </c>
      <c r="L18" s="13" t="s">
        <v>374</v>
      </c>
      <c r="M18" s="16" t="s">
        <v>286</v>
      </c>
      <c r="N18" s="16" t="s">
        <v>375</v>
      </c>
      <c r="O18" s="13" t="s">
        <v>376</v>
      </c>
    </row>
    <row r="19" customFormat="false" ht="78" hidden="false" customHeight="true" outlineLevel="0" collapsed="false">
      <c r="A19" s="16" t="n">
        <v>13</v>
      </c>
      <c r="B19" s="12" t="s">
        <v>74</v>
      </c>
      <c r="C19" s="14" t="s">
        <v>377</v>
      </c>
      <c r="D19" s="20" t="s">
        <v>378</v>
      </c>
      <c r="E19" s="13" t="s">
        <v>379</v>
      </c>
      <c r="F19" s="13" t="s">
        <v>380</v>
      </c>
      <c r="G19" s="17" t="s">
        <v>381</v>
      </c>
      <c r="H19" s="16" t="s">
        <v>293</v>
      </c>
      <c r="I19" s="16" t="n">
        <v>3</v>
      </c>
      <c r="J19" s="12" t="str">
        <f aca="false">IFERROR(INDEX(FMEA!$N$5:$N$24,MATCH(B19,FMEA!$A$5:$A$24,0)),"—")</f>
        <v>CRITICAL</v>
      </c>
      <c r="K19" s="13" t="s">
        <v>319</v>
      </c>
      <c r="L19" s="13" t="s">
        <v>382</v>
      </c>
      <c r="M19" s="21" t="s">
        <v>383</v>
      </c>
      <c r="N19" s="16" t="s">
        <v>384</v>
      </c>
      <c r="O19" s="13" t="s">
        <v>385</v>
      </c>
    </row>
    <row r="20" customFormat="false" ht="78" hidden="false" customHeight="true" outlineLevel="0" collapsed="false">
      <c r="A20" s="16" t="n">
        <v>14</v>
      </c>
      <c r="B20" s="12" t="s">
        <v>84</v>
      </c>
      <c r="C20" s="14" t="s">
        <v>386</v>
      </c>
      <c r="D20" s="20" t="s">
        <v>289</v>
      </c>
      <c r="E20" s="13" t="s">
        <v>387</v>
      </c>
      <c r="F20" s="13" t="s">
        <v>388</v>
      </c>
      <c r="G20" s="17" t="s">
        <v>389</v>
      </c>
      <c r="H20" s="16" t="s">
        <v>293</v>
      </c>
      <c r="I20" s="16" t="n">
        <v>1</v>
      </c>
      <c r="J20" s="12" t="str">
        <f aca="false">IFERROR(INDEX(FMEA!$N$5:$N$24,MATCH(B20,FMEA!$A$5:$A$24,0)),"—")</f>
        <v>HIGH</v>
      </c>
      <c r="K20" s="13" t="s">
        <v>319</v>
      </c>
      <c r="L20" s="13" t="s">
        <v>344</v>
      </c>
      <c r="M20" s="16" t="s">
        <v>286</v>
      </c>
      <c r="N20" s="16" t="s">
        <v>390</v>
      </c>
      <c r="O20" s="13" t="s">
        <v>298</v>
      </c>
    </row>
    <row r="21" customFormat="false" ht="78" hidden="false" customHeight="true" outlineLevel="0" collapsed="false">
      <c r="A21" s="16" t="n">
        <v>15</v>
      </c>
      <c r="B21" s="12" t="s">
        <v>79</v>
      </c>
      <c r="C21" s="14" t="s">
        <v>391</v>
      </c>
      <c r="D21" s="20" t="s">
        <v>392</v>
      </c>
      <c r="E21" s="17" t="s">
        <v>393</v>
      </c>
      <c r="F21" s="13" t="s">
        <v>394</v>
      </c>
      <c r="G21" s="13" t="s">
        <v>395</v>
      </c>
      <c r="H21" s="16" t="s">
        <v>396</v>
      </c>
      <c r="I21" s="16" t="n">
        <v>30</v>
      </c>
      <c r="J21" s="12" t="str">
        <f aca="false">IFERROR(INDEX(FMEA!$N$5:$N$24,MATCH(B21,FMEA!$A$5:$A$24,0)),"—")</f>
        <v>HIGH</v>
      </c>
      <c r="K21" s="13" t="s">
        <v>319</v>
      </c>
      <c r="L21" s="13" t="s">
        <v>397</v>
      </c>
      <c r="M21" s="21" t="s">
        <v>398</v>
      </c>
      <c r="N21" s="16" t="s">
        <v>399</v>
      </c>
      <c r="O21" s="13" t="s">
        <v>68</v>
      </c>
    </row>
    <row r="22" customFormat="false" ht="21.75" hidden="false" customHeight="true" outlineLevel="0" collapsed="false">
      <c r="A22" s="11" t="s">
        <v>104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customFormat="false" ht="78" hidden="false" customHeight="true" outlineLevel="0" collapsed="false">
      <c r="A23" s="16" t="n">
        <v>16</v>
      </c>
      <c r="B23" s="12" t="s">
        <v>111</v>
      </c>
      <c r="C23" s="14" t="s">
        <v>400</v>
      </c>
      <c r="D23" s="20" t="s">
        <v>289</v>
      </c>
      <c r="E23" s="13" t="s">
        <v>401</v>
      </c>
      <c r="F23" s="17" t="s">
        <v>402</v>
      </c>
      <c r="G23" s="13" t="s">
        <v>403</v>
      </c>
      <c r="H23" s="16" t="s">
        <v>283</v>
      </c>
      <c r="I23" s="16" t="n">
        <v>1</v>
      </c>
      <c r="J23" s="12" t="str">
        <f aca="false">IFERROR(INDEX(FMEA!$N$5:$N$24,MATCH(B23,FMEA!$A$5:$A$24,0)),"—")</f>
        <v>CRITICAL</v>
      </c>
      <c r="K23" s="17" t="s">
        <v>404</v>
      </c>
      <c r="L23" s="13" t="s">
        <v>405</v>
      </c>
      <c r="M23" s="16" t="s">
        <v>286</v>
      </c>
      <c r="N23" s="16" t="s">
        <v>406</v>
      </c>
      <c r="O23" s="13" t="s">
        <v>57</v>
      </c>
    </row>
    <row r="24" customFormat="false" ht="78" hidden="false" customHeight="true" outlineLevel="0" collapsed="false">
      <c r="A24" s="16" t="n">
        <v>17</v>
      </c>
      <c r="B24" s="12" t="s">
        <v>116</v>
      </c>
      <c r="C24" s="14" t="s">
        <v>407</v>
      </c>
      <c r="D24" s="20" t="s">
        <v>289</v>
      </c>
      <c r="E24" s="13" t="s">
        <v>408</v>
      </c>
      <c r="F24" s="13" t="s">
        <v>409</v>
      </c>
      <c r="G24" s="13" t="s">
        <v>410</v>
      </c>
      <c r="H24" s="16" t="s">
        <v>293</v>
      </c>
      <c r="I24" s="16" t="n">
        <v>2</v>
      </c>
      <c r="J24" s="12" t="str">
        <f aca="false">IFERROR(INDEX(FMEA!$N$5:$N$24,MATCH(B24,FMEA!$A$5:$A$24,0)),"—")</f>
        <v>HIGH</v>
      </c>
      <c r="K24" s="13" t="s">
        <v>319</v>
      </c>
      <c r="L24" s="13" t="s">
        <v>411</v>
      </c>
      <c r="M24" s="16" t="s">
        <v>286</v>
      </c>
      <c r="N24" s="16" t="s">
        <v>412</v>
      </c>
      <c r="O24" s="13" t="s">
        <v>298</v>
      </c>
    </row>
    <row r="25" customFormat="false" ht="78" hidden="false" customHeight="true" outlineLevel="0" collapsed="false">
      <c r="A25" s="16" t="n">
        <v>18</v>
      </c>
      <c r="B25" s="12" t="s">
        <v>121</v>
      </c>
      <c r="C25" s="14" t="s">
        <v>413</v>
      </c>
      <c r="D25" s="20" t="s">
        <v>378</v>
      </c>
      <c r="E25" s="13" t="s">
        <v>414</v>
      </c>
      <c r="F25" s="13" t="s">
        <v>415</v>
      </c>
      <c r="G25" s="17" t="s">
        <v>381</v>
      </c>
      <c r="H25" s="16" t="s">
        <v>293</v>
      </c>
      <c r="I25" s="16" t="n">
        <v>2</v>
      </c>
      <c r="J25" s="12" t="str">
        <f aca="false">IFERROR(INDEX(FMEA!$N$5:$N$24,MATCH(B25,FMEA!$A$5:$A$24,0)),"—")</f>
        <v>LOW</v>
      </c>
      <c r="K25" s="17" t="s">
        <v>416</v>
      </c>
      <c r="L25" s="13" t="s">
        <v>417</v>
      </c>
      <c r="M25" s="21" t="s">
        <v>383</v>
      </c>
      <c r="N25" s="16" t="s">
        <v>418</v>
      </c>
      <c r="O25" s="13" t="s">
        <v>298</v>
      </c>
    </row>
    <row r="26" customFormat="false" ht="78" hidden="false" customHeight="true" outlineLevel="0" collapsed="false">
      <c r="A26" s="16" t="n">
        <v>19</v>
      </c>
      <c r="B26" s="12" t="s">
        <v>105</v>
      </c>
      <c r="C26" s="14" t="s">
        <v>419</v>
      </c>
      <c r="D26" s="20" t="s">
        <v>289</v>
      </c>
      <c r="E26" s="17" t="s">
        <v>420</v>
      </c>
      <c r="F26" s="13" t="s">
        <v>421</v>
      </c>
      <c r="G26" s="13" t="s">
        <v>395</v>
      </c>
      <c r="H26" s="16" t="s">
        <v>396</v>
      </c>
      <c r="I26" s="16" t="n">
        <v>30</v>
      </c>
      <c r="J26" s="12" t="str">
        <f aca="false">IFERROR(INDEX(FMEA!$N$5:$N$24,MATCH(B26,FMEA!$A$5:$A$24,0)),"—")</f>
        <v>CRITICAL</v>
      </c>
      <c r="K26" s="13" t="s">
        <v>319</v>
      </c>
      <c r="L26" s="13" t="s">
        <v>422</v>
      </c>
      <c r="M26" s="21" t="s">
        <v>398</v>
      </c>
      <c r="N26" s="16" t="s">
        <v>423</v>
      </c>
      <c r="O26" s="13" t="s">
        <v>110</v>
      </c>
    </row>
    <row r="27" customFormat="false" ht="78" hidden="false" customHeight="true" outlineLevel="0" collapsed="false">
      <c r="A27" s="16" t="n">
        <v>20</v>
      </c>
      <c r="B27" s="12" t="s">
        <v>126</v>
      </c>
      <c r="C27" s="14" t="s">
        <v>424</v>
      </c>
      <c r="D27" s="20" t="s">
        <v>289</v>
      </c>
      <c r="E27" s="17" t="s">
        <v>425</v>
      </c>
      <c r="F27" s="13" t="s">
        <v>426</v>
      </c>
      <c r="G27" s="13" t="s">
        <v>395</v>
      </c>
      <c r="H27" s="16" t="s">
        <v>396</v>
      </c>
      <c r="I27" s="16" t="n">
        <v>20</v>
      </c>
      <c r="J27" s="12" t="str">
        <f aca="false">IFERROR(INDEX(FMEA!$N$5:$N$24,MATCH(B27,FMEA!$A$5:$A$24,0)),"—")</f>
        <v>CRITICAL</v>
      </c>
      <c r="K27" s="13" t="s">
        <v>319</v>
      </c>
      <c r="L27" s="13" t="s">
        <v>427</v>
      </c>
      <c r="M27" s="21" t="s">
        <v>398</v>
      </c>
      <c r="N27" s="16" t="s">
        <v>428</v>
      </c>
      <c r="O27" s="13" t="s">
        <v>110</v>
      </c>
    </row>
    <row r="28" customFormat="false" ht="21.75" hidden="false" customHeight="true" outlineLevel="0" collapsed="false">
      <c r="A28" s="11" t="s">
        <v>131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customFormat="false" ht="78" hidden="false" customHeight="true" outlineLevel="0" collapsed="false">
      <c r="A29" s="16" t="n">
        <v>21</v>
      </c>
      <c r="B29" s="12" t="s">
        <v>137</v>
      </c>
      <c r="C29" s="14" t="s">
        <v>429</v>
      </c>
      <c r="D29" s="20" t="s">
        <v>289</v>
      </c>
      <c r="E29" s="13" t="s">
        <v>430</v>
      </c>
      <c r="F29" s="13" t="s">
        <v>431</v>
      </c>
      <c r="G29" s="17" t="s">
        <v>292</v>
      </c>
      <c r="H29" s="16" t="s">
        <v>293</v>
      </c>
      <c r="I29" s="16" t="n">
        <v>5</v>
      </c>
      <c r="J29" s="12" t="str">
        <f aca="false">IFERROR(INDEX(FMEA!$N$5:$N$24,MATCH(B29,FMEA!$A$5:$A$24,0)),"—")</f>
        <v>HIGH</v>
      </c>
      <c r="K29" s="13" t="s">
        <v>319</v>
      </c>
      <c r="L29" s="13" t="s">
        <v>432</v>
      </c>
      <c r="M29" s="16" t="s">
        <v>286</v>
      </c>
      <c r="N29" s="16" t="s">
        <v>433</v>
      </c>
      <c r="O29" s="13" t="s">
        <v>298</v>
      </c>
    </row>
    <row r="30" customFormat="false" ht="78" hidden="false" customHeight="true" outlineLevel="0" collapsed="false">
      <c r="A30" s="16" t="n">
        <v>22</v>
      </c>
      <c r="B30" s="12" t="s">
        <v>132</v>
      </c>
      <c r="C30" s="14" t="s">
        <v>434</v>
      </c>
      <c r="D30" s="20" t="s">
        <v>289</v>
      </c>
      <c r="E30" s="17" t="s">
        <v>435</v>
      </c>
      <c r="F30" s="13" t="s">
        <v>436</v>
      </c>
      <c r="G30" s="13" t="s">
        <v>395</v>
      </c>
      <c r="H30" s="16" t="s">
        <v>396</v>
      </c>
      <c r="I30" s="16" t="n">
        <v>30</v>
      </c>
      <c r="J30" s="12" t="str">
        <f aca="false">IFERROR(INDEX(FMEA!$N$5:$N$24,MATCH(B30,FMEA!$A$5:$A$24,0)),"—")</f>
        <v>HIGH</v>
      </c>
      <c r="K30" s="13" t="s">
        <v>319</v>
      </c>
      <c r="L30" s="13" t="s">
        <v>437</v>
      </c>
      <c r="M30" s="21" t="s">
        <v>398</v>
      </c>
      <c r="N30" s="16" t="s">
        <v>126</v>
      </c>
      <c r="O30" s="13" t="s">
        <v>110</v>
      </c>
    </row>
    <row r="31" customFormat="false" ht="21.75" hidden="false" customHeight="true" outlineLevel="0" collapsed="false">
      <c r="A31" s="11" t="s">
        <v>142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 customFormat="false" ht="78" hidden="false" customHeight="true" outlineLevel="0" collapsed="false">
      <c r="A32" s="16" t="n">
        <v>23</v>
      </c>
      <c r="B32" s="12" t="s">
        <v>143</v>
      </c>
      <c r="C32" s="14" t="s">
        <v>438</v>
      </c>
      <c r="D32" s="20" t="s">
        <v>289</v>
      </c>
      <c r="E32" s="13" t="s">
        <v>439</v>
      </c>
      <c r="F32" s="13" t="s">
        <v>440</v>
      </c>
      <c r="G32" s="17" t="s">
        <v>441</v>
      </c>
      <c r="H32" s="21" t="s">
        <v>343</v>
      </c>
      <c r="I32" s="16" t="n">
        <v>2</v>
      </c>
      <c r="J32" s="12" t="str">
        <f aca="false">IFERROR(INDEX(FMEA!$N$5:$N$24,MATCH(B32,FMEA!$A$5:$A$24,0)),"—")</f>
        <v>HIGH</v>
      </c>
      <c r="K32" s="13" t="s">
        <v>319</v>
      </c>
      <c r="L32" s="13" t="s">
        <v>442</v>
      </c>
      <c r="M32" s="16" t="s">
        <v>286</v>
      </c>
      <c r="N32" s="16" t="s">
        <v>443</v>
      </c>
      <c r="O32" s="13" t="s">
        <v>147</v>
      </c>
    </row>
    <row r="33" customFormat="false" ht="78" hidden="false" customHeight="true" outlineLevel="0" collapsed="false">
      <c r="A33" s="16" t="n">
        <v>24</v>
      </c>
      <c r="B33" s="12" t="s">
        <v>148</v>
      </c>
      <c r="C33" s="14" t="s">
        <v>149</v>
      </c>
      <c r="D33" s="23" t="s">
        <v>444</v>
      </c>
      <c r="E33" s="13" t="s">
        <v>445</v>
      </c>
      <c r="F33" s="13" t="s">
        <v>446</v>
      </c>
      <c r="G33" s="17" t="s">
        <v>447</v>
      </c>
      <c r="H33" s="21" t="s">
        <v>343</v>
      </c>
      <c r="I33" s="16" t="n">
        <v>1</v>
      </c>
      <c r="J33" s="12" t="str">
        <f aca="false">IFERROR(INDEX(FMEA!$N$5:$N$24,MATCH(B33,FMEA!$A$5:$A$24,0)),"—")</f>
        <v>HIGH</v>
      </c>
      <c r="K33" s="17" t="s">
        <v>448</v>
      </c>
      <c r="L33" s="13" t="s">
        <v>449</v>
      </c>
      <c r="M33" s="16" t="s">
        <v>286</v>
      </c>
      <c r="N33" s="16" t="s">
        <v>450</v>
      </c>
      <c r="O33" s="13" t="s">
        <v>147</v>
      </c>
    </row>
    <row r="35" customFormat="false" ht="15" hidden="false" customHeight="false" outlineLevel="0" collapsed="false">
      <c r="A35" s="25" t="s">
        <v>451</v>
      </c>
      <c r="B35" s="25"/>
      <c r="C35" s="25"/>
      <c r="D35" s="25"/>
      <c r="E35" s="25"/>
      <c r="F35" s="25"/>
      <c r="G35" s="25"/>
      <c r="H35" s="25"/>
      <c r="I35" s="19" t="n">
        <f aca="false">SUMIF(H6:H33,"D*",I6:I33)</f>
        <v>6.5</v>
      </c>
      <c r="J35" s="12" t="str">
        <f aca="false">IF(I35&lt;10,"ผ่าน","เกิน")</f>
        <v>ผ่าน</v>
      </c>
    </row>
    <row r="36" customFormat="false" ht="15" hidden="false" customHeight="false" outlineLevel="0" collapsed="false">
      <c r="A36" s="25" t="s">
        <v>452</v>
      </c>
      <c r="B36" s="25"/>
      <c r="C36" s="25"/>
      <c r="D36" s="25"/>
      <c r="E36" s="25"/>
      <c r="F36" s="25"/>
      <c r="G36" s="25"/>
      <c r="H36" s="25"/>
      <c r="I36" s="19" t="n">
        <f aca="false">SUMIF(H6:H33,"W*",I6:I33)</f>
        <v>6.5</v>
      </c>
    </row>
  </sheetData>
  <mergeCells count="9">
    <mergeCell ref="A1:O1"/>
    <mergeCell ref="A2:O2"/>
    <mergeCell ref="A5:O5"/>
    <mergeCell ref="A8:O8"/>
    <mergeCell ref="A22:O22"/>
    <mergeCell ref="A28:O28"/>
    <mergeCell ref="A31:O31"/>
    <mergeCell ref="A35:H35"/>
    <mergeCell ref="A36:H36"/>
  </mergeCells>
  <conditionalFormatting sqref="J6:J33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printOptions headings="false" gridLines="false" gridLinesSet="true" horizontalCentered="true" verticalCentered="false"/>
  <pageMargins left="0.3" right="0.3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6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17" min="6" style="0" width="6"/>
    <col collapsed="false" customWidth="true" hidden="false" outlineLevel="0" max="18" min="18" style="0" width="13"/>
  </cols>
  <sheetData>
    <row r="1" customFormat="false" ht="30" hidden="false" customHeight="true" outlineLevel="0" collapsed="false">
      <c r="A1" s="1" t="s">
        <v>453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1.9" hidden="false" customHeight="false" outlineLevel="0" collapsed="false">
      <c r="A2" s="2" t="s">
        <v>454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36" hidden="false" customHeight="true" outlineLevel="0" collapsed="false">
      <c r="A4" s="10" t="s">
        <v>266</v>
      </c>
      <c r="B4" s="10" t="s">
        <v>455</v>
      </c>
      <c r="C4" s="10" t="s">
        <v>22</v>
      </c>
      <c r="D4" s="10" t="s">
        <v>272</v>
      </c>
      <c r="E4" s="10" t="s">
        <v>456</v>
      </c>
      <c r="F4" s="10" t="s">
        <v>457</v>
      </c>
      <c r="G4" s="10" t="s">
        <v>458</v>
      </c>
      <c r="H4" s="10" t="s">
        <v>459</v>
      </c>
      <c r="I4" s="10" t="s">
        <v>460</v>
      </c>
      <c r="J4" s="10" t="s">
        <v>461</v>
      </c>
      <c r="K4" s="10" t="s">
        <v>462</v>
      </c>
      <c r="L4" s="10" t="s">
        <v>463</v>
      </c>
      <c r="M4" s="10" t="s">
        <v>464</v>
      </c>
      <c r="N4" s="10" t="s">
        <v>465</v>
      </c>
      <c r="O4" s="10" t="s">
        <v>466</v>
      </c>
      <c r="P4" s="10" t="s">
        <v>467</v>
      </c>
      <c r="Q4" s="10" t="s">
        <v>468</v>
      </c>
      <c r="R4" s="10" t="s">
        <v>276</v>
      </c>
    </row>
    <row r="5" customFormat="false" ht="21.75" hidden="false" customHeight="true" outlineLevel="0" collapsed="false">
      <c r="A5" s="11" t="s">
        <v>44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customFormat="false" ht="30" hidden="false" customHeight="true" outlineLevel="0" collapsed="false">
      <c r="A6" s="16" t="n">
        <v>1</v>
      </c>
      <c r="B6" s="13" t="s">
        <v>278</v>
      </c>
      <c r="C6" s="26" t="s">
        <v>279</v>
      </c>
      <c r="D6" s="16" t="s">
        <v>283</v>
      </c>
      <c r="E6" s="12" t="str">
        <f aca="false">AM_Standard!J6</f>
        <v>HIGH</v>
      </c>
      <c r="F6" s="27" t="s">
        <v>163</v>
      </c>
      <c r="G6" s="27" t="s">
        <v>163</v>
      </c>
      <c r="H6" s="27" t="s">
        <v>163</v>
      </c>
      <c r="I6" s="27" t="s">
        <v>163</v>
      </c>
      <c r="J6" s="27" t="s">
        <v>163</v>
      </c>
      <c r="K6" s="27" t="s">
        <v>163</v>
      </c>
      <c r="L6" s="27" t="s">
        <v>163</v>
      </c>
      <c r="M6" s="27" t="s">
        <v>163</v>
      </c>
      <c r="N6" s="27" t="s">
        <v>163</v>
      </c>
      <c r="O6" s="27" t="s">
        <v>163</v>
      </c>
      <c r="P6" s="27" t="s">
        <v>163</v>
      </c>
      <c r="Q6" s="27" t="s">
        <v>163</v>
      </c>
      <c r="R6" s="16" t="s">
        <v>286</v>
      </c>
    </row>
    <row r="7" customFormat="false" ht="30" hidden="false" customHeight="true" outlineLevel="0" collapsed="false">
      <c r="A7" s="16" t="n">
        <v>2</v>
      </c>
      <c r="B7" s="13" t="s">
        <v>288</v>
      </c>
      <c r="C7" s="26" t="s">
        <v>289</v>
      </c>
      <c r="D7" s="16" t="s">
        <v>293</v>
      </c>
      <c r="E7" s="12" t="str">
        <f aca="false">AM_Standard!J7</f>
        <v>HIGH</v>
      </c>
      <c r="F7" s="16"/>
      <c r="G7" s="16"/>
      <c r="H7" s="28" t="s">
        <v>469</v>
      </c>
      <c r="I7" s="16"/>
      <c r="J7" s="16"/>
      <c r="K7" s="28" t="s">
        <v>469</v>
      </c>
      <c r="L7" s="16"/>
      <c r="M7" s="16"/>
      <c r="N7" s="28" t="s">
        <v>469</v>
      </c>
      <c r="O7" s="16"/>
      <c r="P7" s="16"/>
      <c r="Q7" s="28" t="s">
        <v>469</v>
      </c>
      <c r="R7" s="21" t="s">
        <v>296</v>
      </c>
    </row>
    <row r="8" customFormat="false" ht="21.75" hidden="false" customHeight="true" outlineLevel="0" collapsed="false">
      <c r="A8" s="11" t="s">
        <v>58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customFormat="false" ht="30" hidden="false" customHeight="true" outlineLevel="0" collapsed="false">
      <c r="A9" s="16" t="n">
        <v>3</v>
      </c>
      <c r="B9" s="13" t="s">
        <v>299</v>
      </c>
      <c r="C9" s="29" t="s">
        <v>300</v>
      </c>
      <c r="D9" s="21" t="s">
        <v>304</v>
      </c>
      <c r="E9" s="12" t="str">
        <f aca="false">AM_Standard!J9</f>
        <v>CRITICAL</v>
      </c>
      <c r="F9" s="27" t="s">
        <v>163</v>
      </c>
      <c r="G9" s="27" t="s">
        <v>163</v>
      </c>
      <c r="H9" s="27" t="s">
        <v>163</v>
      </c>
      <c r="I9" s="27" t="s">
        <v>163</v>
      </c>
      <c r="J9" s="27" t="s">
        <v>163</v>
      </c>
      <c r="K9" s="27" t="s">
        <v>163</v>
      </c>
      <c r="L9" s="27" t="s">
        <v>163</v>
      </c>
      <c r="M9" s="27" t="s">
        <v>163</v>
      </c>
      <c r="N9" s="27" t="s">
        <v>163</v>
      </c>
      <c r="O9" s="27" t="s">
        <v>163</v>
      </c>
      <c r="P9" s="27" t="s">
        <v>163</v>
      </c>
      <c r="Q9" s="27" t="s">
        <v>163</v>
      </c>
      <c r="R9" s="16" t="s">
        <v>286</v>
      </c>
    </row>
    <row r="10" customFormat="false" ht="30" hidden="false" customHeight="true" outlineLevel="0" collapsed="false">
      <c r="A10" s="16" t="n">
        <v>4</v>
      </c>
      <c r="B10" s="13" t="s">
        <v>309</v>
      </c>
      <c r="C10" s="26" t="s">
        <v>289</v>
      </c>
      <c r="D10" s="21" t="s">
        <v>304</v>
      </c>
      <c r="E10" s="12" t="str">
        <f aca="false">AM_Standard!J10</f>
        <v>CRITICAL</v>
      </c>
      <c r="F10" s="27" t="s">
        <v>163</v>
      </c>
      <c r="G10" s="27" t="s">
        <v>163</v>
      </c>
      <c r="H10" s="27" t="s">
        <v>163</v>
      </c>
      <c r="I10" s="27" t="s">
        <v>163</v>
      </c>
      <c r="J10" s="27" t="s">
        <v>163</v>
      </c>
      <c r="K10" s="27" t="s">
        <v>163</v>
      </c>
      <c r="L10" s="27" t="s">
        <v>163</v>
      </c>
      <c r="M10" s="27" t="s">
        <v>163</v>
      </c>
      <c r="N10" s="27" t="s">
        <v>163</v>
      </c>
      <c r="O10" s="27" t="s">
        <v>163</v>
      </c>
      <c r="P10" s="27" t="s">
        <v>163</v>
      </c>
      <c r="Q10" s="27" t="s">
        <v>163</v>
      </c>
      <c r="R10" s="16" t="s">
        <v>286</v>
      </c>
    </row>
    <row r="11" customFormat="false" ht="30" hidden="false" customHeight="true" outlineLevel="0" collapsed="false">
      <c r="A11" s="16" t="n">
        <v>5</v>
      </c>
      <c r="B11" s="13" t="s">
        <v>315</v>
      </c>
      <c r="C11" s="26" t="s">
        <v>289</v>
      </c>
      <c r="D11" s="16" t="s">
        <v>283</v>
      </c>
      <c r="E11" s="12" t="str">
        <f aca="false">AM_Standard!J11</f>
        <v>CRITICAL</v>
      </c>
      <c r="F11" s="27" t="s">
        <v>163</v>
      </c>
      <c r="G11" s="27" t="s">
        <v>163</v>
      </c>
      <c r="H11" s="27" t="s">
        <v>163</v>
      </c>
      <c r="I11" s="27" t="s">
        <v>163</v>
      </c>
      <c r="J11" s="27" t="s">
        <v>163</v>
      </c>
      <c r="K11" s="27" t="s">
        <v>163</v>
      </c>
      <c r="L11" s="27" t="s">
        <v>163</v>
      </c>
      <c r="M11" s="27" t="s">
        <v>163</v>
      </c>
      <c r="N11" s="27" t="s">
        <v>163</v>
      </c>
      <c r="O11" s="27" t="s">
        <v>163</v>
      </c>
      <c r="P11" s="27" t="s">
        <v>163</v>
      </c>
      <c r="Q11" s="27" t="s">
        <v>163</v>
      </c>
      <c r="R11" s="16" t="s">
        <v>286</v>
      </c>
    </row>
    <row r="12" customFormat="false" ht="30" hidden="false" customHeight="true" outlineLevel="0" collapsed="false">
      <c r="A12" s="16" t="n">
        <v>6</v>
      </c>
      <c r="B12" s="13" t="s">
        <v>323</v>
      </c>
      <c r="C12" s="30" t="s">
        <v>324</v>
      </c>
      <c r="D12" s="21" t="s">
        <v>304</v>
      </c>
      <c r="E12" s="12" t="str">
        <f aca="false">AM_Standard!J12</f>
        <v>CRITICAL</v>
      </c>
      <c r="F12" s="27" t="s">
        <v>163</v>
      </c>
      <c r="G12" s="27" t="s">
        <v>163</v>
      </c>
      <c r="H12" s="27" t="s">
        <v>163</v>
      </c>
      <c r="I12" s="27" t="s">
        <v>163</v>
      </c>
      <c r="J12" s="27" t="s">
        <v>163</v>
      </c>
      <c r="K12" s="27" t="s">
        <v>163</v>
      </c>
      <c r="L12" s="27" t="s">
        <v>163</v>
      </c>
      <c r="M12" s="27" t="s">
        <v>163</v>
      </c>
      <c r="N12" s="27" t="s">
        <v>163</v>
      </c>
      <c r="O12" s="27" t="s">
        <v>163</v>
      </c>
      <c r="P12" s="27" t="s">
        <v>163</v>
      </c>
      <c r="Q12" s="27" t="s">
        <v>163</v>
      </c>
      <c r="R12" s="16" t="s">
        <v>286</v>
      </c>
    </row>
    <row r="13" customFormat="false" ht="30" hidden="false" customHeight="true" outlineLevel="0" collapsed="false">
      <c r="A13" s="16" t="n">
        <v>7</v>
      </c>
      <c r="B13" s="13" t="s">
        <v>331</v>
      </c>
      <c r="C13" s="26" t="s">
        <v>289</v>
      </c>
      <c r="D13" s="16" t="s">
        <v>283</v>
      </c>
      <c r="E13" s="12" t="str">
        <f aca="false">AM_Standard!J13</f>
        <v>HIGH</v>
      </c>
      <c r="F13" s="27" t="s">
        <v>163</v>
      </c>
      <c r="G13" s="27" t="s">
        <v>163</v>
      </c>
      <c r="H13" s="27" t="s">
        <v>163</v>
      </c>
      <c r="I13" s="27" t="s">
        <v>163</v>
      </c>
      <c r="J13" s="27" t="s">
        <v>163</v>
      </c>
      <c r="K13" s="27" t="s">
        <v>163</v>
      </c>
      <c r="L13" s="27" t="s">
        <v>163</v>
      </c>
      <c r="M13" s="27" t="s">
        <v>163</v>
      </c>
      <c r="N13" s="27" t="s">
        <v>163</v>
      </c>
      <c r="O13" s="27" t="s">
        <v>163</v>
      </c>
      <c r="P13" s="27" t="s">
        <v>163</v>
      </c>
      <c r="Q13" s="27" t="s">
        <v>163</v>
      </c>
      <c r="R13" s="16" t="s">
        <v>286</v>
      </c>
    </row>
    <row r="14" customFormat="false" ht="30" hidden="false" customHeight="true" outlineLevel="0" collapsed="false">
      <c r="A14" s="16" t="n">
        <v>8</v>
      </c>
      <c r="B14" s="13" t="s">
        <v>339</v>
      </c>
      <c r="C14" s="26" t="s">
        <v>289</v>
      </c>
      <c r="D14" s="21" t="s">
        <v>343</v>
      </c>
      <c r="E14" s="12" t="str">
        <f aca="false">AM_Standard!J14</f>
        <v>HIGH</v>
      </c>
      <c r="F14" s="31" t="s">
        <v>470</v>
      </c>
      <c r="G14" s="31" t="s">
        <v>470</v>
      </c>
      <c r="H14" s="31" t="s">
        <v>470</v>
      </c>
      <c r="I14" s="31" t="s">
        <v>470</v>
      </c>
      <c r="J14" s="31" t="s">
        <v>470</v>
      </c>
      <c r="K14" s="31" t="s">
        <v>470</v>
      </c>
      <c r="L14" s="31" t="s">
        <v>470</v>
      </c>
      <c r="M14" s="31" t="s">
        <v>470</v>
      </c>
      <c r="N14" s="31" t="s">
        <v>470</v>
      </c>
      <c r="O14" s="31" t="s">
        <v>470</v>
      </c>
      <c r="P14" s="31" t="s">
        <v>470</v>
      </c>
      <c r="Q14" s="31" t="s">
        <v>470</v>
      </c>
      <c r="R14" s="16" t="s">
        <v>286</v>
      </c>
    </row>
    <row r="15" customFormat="false" ht="30" hidden="false" customHeight="true" outlineLevel="0" collapsed="false">
      <c r="A15" s="16" t="n">
        <v>9</v>
      </c>
      <c r="B15" s="13" t="s">
        <v>347</v>
      </c>
      <c r="C15" s="26" t="s">
        <v>289</v>
      </c>
      <c r="D15" s="16" t="s">
        <v>283</v>
      </c>
      <c r="E15" s="12" t="str">
        <f aca="false">AM_Standard!J15</f>
        <v>CRITICAL</v>
      </c>
      <c r="F15" s="27" t="s">
        <v>163</v>
      </c>
      <c r="G15" s="27" t="s">
        <v>163</v>
      </c>
      <c r="H15" s="27" t="s">
        <v>163</v>
      </c>
      <c r="I15" s="27" t="s">
        <v>163</v>
      </c>
      <c r="J15" s="27" t="s">
        <v>163</v>
      </c>
      <c r="K15" s="27" t="s">
        <v>163</v>
      </c>
      <c r="L15" s="27" t="s">
        <v>163</v>
      </c>
      <c r="M15" s="27" t="s">
        <v>163</v>
      </c>
      <c r="N15" s="27" t="s">
        <v>163</v>
      </c>
      <c r="O15" s="27" t="s">
        <v>163</v>
      </c>
      <c r="P15" s="27" t="s">
        <v>163</v>
      </c>
      <c r="Q15" s="27" t="s">
        <v>163</v>
      </c>
      <c r="R15" s="16" t="s">
        <v>286</v>
      </c>
    </row>
    <row r="16" customFormat="false" ht="30" hidden="false" customHeight="true" outlineLevel="0" collapsed="false">
      <c r="A16" s="16" t="n">
        <v>10</v>
      </c>
      <c r="B16" s="13" t="s">
        <v>354</v>
      </c>
      <c r="C16" s="26" t="s">
        <v>289</v>
      </c>
      <c r="D16" s="21" t="s">
        <v>304</v>
      </c>
      <c r="E16" s="12" t="str">
        <f aca="false">AM_Standard!J16</f>
        <v>CRITICAL</v>
      </c>
      <c r="F16" s="27" t="s">
        <v>163</v>
      </c>
      <c r="G16" s="27" t="s">
        <v>163</v>
      </c>
      <c r="H16" s="27" t="s">
        <v>163</v>
      </c>
      <c r="I16" s="27" t="s">
        <v>163</v>
      </c>
      <c r="J16" s="27" t="s">
        <v>163</v>
      </c>
      <c r="K16" s="27" t="s">
        <v>163</v>
      </c>
      <c r="L16" s="27" t="s">
        <v>163</v>
      </c>
      <c r="M16" s="27" t="s">
        <v>163</v>
      </c>
      <c r="N16" s="27" t="s">
        <v>163</v>
      </c>
      <c r="O16" s="27" t="s">
        <v>163</v>
      </c>
      <c r="P16" s="27" t="s">
        <v>163</v>
      </c>
      <c r="Q16" s="27" t="s">
        <v>163</v>
      </c>
      <c r="R16" s="16" t="s">
        <v>286</v>
      </c>
    </row>
    <row r="17" customFormat="false" ht="30" hidden="false" customHeight="true" outlineLevel="0" collapsed="false">
      <c r="A17" s="16" t="n">
        <v>11</v>
      </c>
      <c r="B17" s="13" t="s">
        <v>360</v>
      </c>
      <c r="C17" s="32" t="s">
        <v>361</v>
      </c>
      <c r="D17" s="16" t="s">
        <v>365</v>
      </c>
      <c r="E17" s="12" t="str">
        <f aca="false">AM_Standard!J17</f>
        <v>CRITICAL</v>
      </c>
      <c r="F17" s="31" t="s">
        <v>470</v>
      </c>
      <c r="G17" s="31" t="s">
        <v>470</v>
      </c>
      <c r="H17" s="31" t="s">
        <v>470</v>
      </c>
      <c r="I17" s="31" t="s">
        <v>470</v>
      </c>
      <c r="J17" s="31" t="s">
        <v>470</v>
      </c>
      <c r="K17" s="31" t="s">
        <v>470</v>
      </c>
      <c r="L17" s="31" t="s">
        <v>470</v>
      </c>
      <c r="M17" s="31" t="s">
        <v>470</v>
      </c>
      <c r="N17" s="31" t="s">
        <v>470</v>
      </c>
      <c r="O17" s="31" t="s">
        <v>470</v>
      </c>
      <c r="P17" s="31" t="s">
        <v>470</v>
      </c>
      <c r="Q17" s="31" t="s">
        <v>470</v>
      </c>
      <c r="R17" s="16" t="s">
        <v>286</v>
      </c>
    </row>
    <row r="18" customFormat="false" ht="30" hidden="false" customHeight="true" outlineLevel="0" collapsed="false">
      <c r="A18" s="16" t="n">
        <v>12</v>
      </c>
      <c r="B18" s="13" t="s">
        <v>370</v>
      </c>
      <c r="C18" s="26" t="s">
        <v>289</v>
      </c>
      <c r="D18" s="16" t="s">
        <v>293</v>
      </c>
      <c r="E18" s="12" t="str">
        <f aca="false">AM_Standard!J18</f>
        <v>CRITICAL</v>
      </c>
      <c r="F18" s="16"/>
      <c r="G18" s="16"/>
      <c r="H18" s="28" t="s">
        <v>469</v>
      </c>
      <c r="I18" s="16"/>
      <c r="J18" s="16"/>
      <c r="K18" s="28" t="s">
        <v>469</v>
      </c>
      <c r="L18" s="16"/>
      <c r="M18" s="16"/>
      <c r="N18" s="28" t="s">
        <v>469</v>
      </c>
      <c r="O18" s="16"/>
      <c r="P18" s="16"/>
      <c r="Q18" s="28" t="s">
        <v>469</v>
      </c>
      <c r="R18" s="16" t="s">
        <v>286</v>
      </c>
    </row>
    <row r="19" customFormat="false" ht="30" hidden="false" customHeight="true" outlineLevel="0" collapsed="false">
      <c r="A19" s="16" t="n">
        <v>13</v>
      </c>
      <c r="B19" s="13" t="s">
        <v>377</v>
      </c>
      <c r="C19" s="26" t="s">
        <v>378</v>
      </c>
      <c r="D19" s="16" t="s">
        <v>293</v>
      </c>
      <c r="E19" s="12" t="str">
        <f aca="false">AM_Standard!J19</f>
        <v>CRITICAL</v>
      </c>
      <c r="F19" s="16"/>
      <c r="G19" s="16"/>
      <c r="H19" s="28" t="s">
        <v>469</v>
      </c>
      <c r="I19" s="16"/>
      <c r="J19" s="16"/>
      <c r="K19" s="28" t="s">
        <v>469</v>
      </c>
      <c r="L19" s="16"/>
      <c r="M19" s="16"/>
      <c r="N19" s="28" t="s">
        <v>469</v>
      </c>
      <c r="O19" s="16"/>
      <c r="P19" s="16"/>
      <c r="Q19" s="28" t="s">
        <v>469</v>
      </c>
      <c r="R19" s="21" t="s">
        <v>383</v>
      </c>
    </row>
    <row r="20" customFormat="false" ht="30" hidden="false" customHeight="true" outlineLevel="0" collapsed="false">
      <c r="A20" s="16" t="n">
        <v>14</v>
      </c>
      <c r="B20" s="13" t="s">
        <v>386</v>
      </c>
      <c r="C20" s="26" t="s">
        <v>289</v>
      </c>
      <c r="D20" s="16" t="s">
        <v>293</v>
      </c>
      <c r="E20" s="12" t="str">
        <f aca="false">AM_Standard!J20</f>
        <v>HIGH</v>
      </c>
      <c r="F20" s="16"/>
      <c r="G20" s="16"/>
      <c r="H20" s="28" t="s">
        <v>469</v>
      </c>
      <c r="I20" s="16"/>
      <c r="J20" s="16"/>
      <c r="K20" s="28" t="s">
        <v>469</v>
      </c>
      <c r="L20" s="16"/>
      <c r="M20" s="16"/>
      <c r="N20" s="28" t="s">
        <v>469</v>
      </c>
      <c r="O20" s="16"/>
      <c r="P20" s="16"/>
      <c r="Q20" s="28" t="s">
        <v>469</v>
      </c>
      <c r="R20" s="16" t="s">
        <v>286</v>
      </c>
    </row>
    <row r="21" customFormat="false" ht="30" hidden="false" customHeight="true" outlineLevel="0" collapsed="false">
      <c r="A21" s="16" t="n">
        <v>15</v>
      </c>
      <c r="B21" s="13" t="s">
        <v>391</v>
      </c>
      <c r="C21" s="26" t="s">
        <v>392</v>
      </c>
      <c r="D21" s="16" t="s">
        <v>396</v>
      </c>
      <c r="E21" s="12" t="str">
        <f aca="false">AM_Standard!J21</f>
        <v>HIGH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33" t="s">
        <v>471</v>
      </c>
      <c r="R21" s="21" t="s">
        <v>398</v>
      </c>
    </row>
    <row r="22" customFormat="false" ht="21.75" hidden="false" customHeight="true" outlineLevel="0" collapsed="false">
      <c r="A22" s="11" t="s">
        <v>104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customFormat="false" ht="30" hidden="false" customHeight="true" outlineLevel="0" collapsed="false">
      <c r="A23" s="16" t="n">
        <v>16</v>
      </c>
      <c r="B23" s="13" t="s">
        <v>400</v>
      </c>
      <c r="C23" s="26" t="s">
        <v>289</v>
      </c>
      <c r="D23" s="16" t="s">
        <v>283</v>
      </c>
      <c r="E23" s="12" t="str">
        <f aca="false">AM_Standard!J23</f>
        <v>CRITICAL</v>
      </c>
      <c r="F23" s="27" t="s">
        <v>163</v>
      </c>
      <c r="G23" s="27" t="s">
        <v>163</v>
      </c>
      <c r="H23" s="27" t="s">
        <v>163</v>
      </c>
      <c r="I23" s="27" t="s">
        <v>163</v>
      </c>
      <c r="J23" s="27" t="s">
        <v>163</v>
      </c>
      <c r="K23" s="27" t="s">
        <v>163</v>
      </c>
      <c r="L23" s="27" t="s">
        <v>163</v>
      </c>
      <c r="M23" s="27" t="s">
        <v>163</v>
      </c>
      <c r="N23" s="27" t="s">
        <v>163</v>
      </c>
      <c r="O23" s="27" t="s">
        <v>163</v>
      </c>
      <c r="P23" s="27" t="s">
        <v>163</v>
      </c>
      <c r="Q23" s="27" t="s">
        <v>163</v>
      </c>
      <c r="R23" s="16" t="s">
        <v>286</v>
      </c>
    </row>
    <row r="24" customFormat="false" ht="30" hidden="false" customHeight="true" outlineLevel="0" collapsed="false">
      <c r="A24" s="16" t="n">
        <v>17</v>
      </c>
      <c r="B24" s="13" t="s">
        <v>407</v>
      </c>
      <c r="C24" s="26" t="s">
        <v>289</v>
      </c>
      <c r="D24" s="16" t="s">
        <v>293</v>
      </c>
      <c r="E24" s="12" t="str">
        <f aca="false">AM_Standard!J24</f>
        <v>HIGH</v>
      </c>
      <c r="F24" s="16"/>
      <c r="G24" s="16"/>
      <c r="H24" s="28" t="s">
        <v>469</v>
      </c>
      <c r="I24" s="16"/>
      <c r="J24" s="16"/>
      <c r="K24" s="28" t="s">
        <v>469</v>
      </c>
      <c r="L24" s="16"/>
      <c r="M24" s="16"/>
      <c r="N24" s="28" t="s">
        <v>469</v>
      </c>
      <c r="O24" s="16"/>
      <c r="P24" s="16"/>
      <c r="Q24" s="28" t="s">
        <v>469</v>
      </c>
      <c r="R24" s="16" t="s">
        <v>286</v>
      </c>
    </row>
    <row r="25" customFormat="false" ht="30" hidden="false" customHeight="true" outlineLevel="0" collapsed="false">
      <c r="A25" s="16" t="n">
        <v>18</v>
      </c>
      <c r="B25" s="13" t="s">
        <v>413</v>
      </c>
      <c r="C25" s="26" t="s">
        <v>378</v>
      </c>
      <c r="D25" s="16" t="s">
        <v>293</v>
      </c>
      <c r="E25" s="12" t="str">
        <f aca="false">AM_Standard!J25</f>
        <v>LOW</v>
      </c>
      <c r="F25" s="16"/>
      <c r="G25" s="16"/>
      <c r="H25" s="28" t="s">
        <v>469</v>
      </c>
      <c r="I25" s="16"/>
      <c r="J25" s="16"/>
      <c r="K25" s="28" t="s">
        <v>469</v>
      </c>
      <c r="L25" s="16"/>
      <c r="M25" s="16"/>
      <c r="N25" s="28" t="s">
        <v>469</v>
      </c>
      <c r="O25" s="16"/>
      <c r="P25" s="16"/>
      <c r="Q25" s="28" t="s">
        <v>469</v>
      </c>
      <c r="R25" s="21" t="s">
        <v>383</v>
      </c>
    </row>
    <row r="26" customFormat="false" ht="30" hidden="false" customHeight="true" outlineLevel="0" collapsed="false">
      <c r="A26" s="16" t="n">
        <v>19</v>
      </c>
      <c r="B26" s="13" t="s">
        <v>419</v>
      </c>
      <c r="C26" s="26" t="s">
        <v>289</v>
      </c>
      <c r="D26" s="16" t="s">
        <v>396</v>
      </c>
      <c r="E26" s="12" t="str">
        <f aca="false">AM_Standard!J26</f>
        <v>CRITICAL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33" t="s">
        <v>471</v>
      </c>
      <c r="R26" s="21" t="s">
        <v>398</v>
      </c>
    </row>
    <row r="27" customFormat="false" ht="30" hidden="false" customHeight="true" outlineLevel="0" collapsed="false">
      <c r="A27" s="16" t="n">
        <v>20</v>
      </c>
      <c r="B27" s="13" t="s">
        <v>424</v>
      </c>
      <c r="C27" s="26" t="s">
        <v>289</v>
      </c>
      <c r="D27" s="16" t="s">
        <v>396</v>
      </c>
      <c r="E27" s="12" t="str">
        <f aca="false">AM_Standard!J27</f>
        <v>CRITICAL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33" t="s">
        <v>471</v>
      </c>
      <c r="R27" s="21" t="s">
        <v>398</v>
      </c>
    </row>
    <row r="28" customFormat="false" ht="21.75" hidden="false" customHeight="true" outlineLevel="0" collapsed="false">
      <c r="A28" s="11" t="s">
        <v>131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customFormat="false" ht="30" hidden="false" customHeight="true" outlineLevel="0" collapsed="false">
      <c r="A29" s="16" t="n">
        <v>21</v>
      </c>
      <c r="B29" s="13" t="s">
        <v>429</v>
      </c>
      <c r="C29" s="26" t="s">
        <v>289</v>
      </c>
      <c r="D29" s="16" t="s">
        <v>293</v>
      </c>
      <c r="E29" s="12" t="str">
        <f aca="false">AM_Standard!J29</f>
        <v>HIGH</v>
      </c>
      <c r="F29" s="16"/>
      <c r="G29" s="16"/>
      <c r="H29" s="28" t="s">
        <v>469</v>
      </c>
      <c r="I29" s="16"/>
      <c r="J29" s="16"/>
      <c r="K29" s="28" t="s">
        <v>469</v>
      </c>
      <c r="L29" s="16"/>
      <c r="M29" s="16"/>
      <c r="N29" s="28" t="s">
        <v>469</v>
      </c>
      <c r="O29" s="16"/>
      <c r="P29" s="16"/>
      <c r="Q29" s="28" t="s">
        <v>469</v>
      </c>
      <c r="R29" s="16" t="s">
        <v>286</v>
      </c>
    </row>
    <row r="30" customFormat="false" ht="30" hidden="false" customHeight="true" outlineLevel="0" collapsed="false">
      <c r="A30" s="16" t="n">
        <v>22</v>
      </c>
      <c r="B30" s="13" t="s">
        <v>434</v>
      </c>
      <c r="C30" s="26" t="s">
        <v>289</v>
      </c>
      <c r="D30" s="16" t="s">
        <v>396</v>
      </c>
      <c r="E30" s="12" t="str">
        <f aca="false">AM_Standard!J30</f>
        <v>HIGH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33" t="s">
        <v>471</v>
      </c>
      <c r="R30" s="21" t="s">
        <v>398</v>
      </c>
    </row>
    <row r="31" customFormat="false" ht="21.75" hidden="false" customHeight="true" outlineLevel="0" collapsed="false">
      <c r="A31" s="11" t="s">
        <v>142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</row>
    <row r="32" customFormat="false" ht="30" hidden="false" customHeight="true" outlineLevel="0" collapsed="false">
      <c r="A32" s="16" t="n">
        <v>23</v>
      </c>
      <c r="B32" s="13" t="s">
        <v>438</v>
      </c>
      <c r="C32" s="26" t="s">
        <v>289</v>
      </c>
      <c r="D32" s="21" t="s">
        <v>343</v>
      </c>
      <c r="E32" s="12" t="str">
        <f aca="false">AM_Standard!J32</f>
        <v>HIGH</v>
      </c>
      <c r="F32" s="31" t="s">
        <v>470</v>
      </c>
      <c r="G32" s="31" t="s">
        <v>470</v>
      </c>
      <c r="H32" s="31" t="s">
        <v>470</v>
      </c>
      <c r="I32" s="31" t="s">
        <v>470</v>
      </c>
      <c r="J32" s="31" t="s">
        <v>470</v>
      </c>
      <c r="K32" s="31" t="s">
        <v>470</v>
      </c>
      <c r="L32" s="31" t="s">
        <v>470</v>
      </c>
      <c r="M32" s="31" t="s">
        <v>470</v>
      </c>
      <c r="N32" s="31" t="s">
        <v>470</v>
      </c>
      <c r="O32" s="31" t="s">
        <v>470</v>
      </c>
      <c r="P32" s="31" t="s">
        <v>470</v>
      </c>
      <c r="Q32" s="31" t="s">
        <v>470</v>
      </c>
      <c r="R32" s="16" t="s">
        <v>286</v>
      </c>
    </row>
    <row r="33" customFormat="false" ht="30" hidden="false" customHeight="true" outlineLevel="0" collapsed="false">
      <c r="A33" s="16" t="n">
        <v>24</v>
      </c>
      <c r="B33" s="13" t="s">
        <v>149</v>
      </c>
      <c r="C33" s="30" t="s">
        <v>444</v>
      </c>
      <c r="D33" s="21" t="s">
        <v>343</v>
      </c>
      <c r="E33" s="12" t="str">
        <f aca="false">AM_Standard!J33</f>
        <v>HIGH</v>
      </c>
      <c r="F33" s="31" t="s">
        <v>470</v>
      </c>
      <c r="G33" s="31" t="s">
        <v>470</v>
      </c>
      <c r="H33" s="31" t="s">
        <v>470</v>
      </c>
      <c r="I33" s="31" t="s">
        <v>470</v>
      </c>
      <c r="J33" s="31" t="s">
        <v>470</v>
      </c>
      <c r="K33" s="31" t="s">
        <v>470</v>
      </c>
      <c r="L33" s="31" t="s">
        <v>470</v>
      </c>
      <c r="M33" s="31" t="s">
        <v>470</v>
      </c>
      <c r="N33" s="31" t="s">
        <v>470</v>
      </c>
      <c r="O33" s="31" t="s">
        <v>470</v>
      </c>
      <c r="P33" s="31" t="s">
        <v>470</v>
      </c>
      <c r="Q33" s="31" t="s">
        <v>470</v>
      </c>
      <c r="R33" s="16" t="s">
        <v>286</v>
      </c>
    </row>
    <row r="35" customFormat="false" ht="30" hidden="false" customHeight="true" outlineLevel="0" collapsed="false">
      <c r="F35" s="27" t="s">
        <v>163</v>
      </c>
      <c r="G35" s="13" t="s">
        <v>472</v>
      </c>
      <c r="H35" s="31" t="s">
        <v>470</v>
      </c>
      <c r="I35" s="13" t="s">
        <v>473</v>
      </c>
      <c r="J35" s="28" t="s">
        <v>469</v>
      </c>
      <c r="K35" s="13" t="s">
        <v>474</v>
      </c>
      <c r="L35" s="34" t="s">
        <v>159</v>
      </c>
      <c r="M35" s="13" t="s">
        <v>475</v>
      </c>
      <c r="N35" s="33" t="s">
        <v>471</v>
      </c>
      <c r="O35" s="13" t="s">
        <v>476</v>
      </c>
    </row>
  </sheetData>
  <mergeCells count="7">
    <mergeCell ref="A1:R1"/>
    <mergeCell ref="A2:R2"/>
    <mergeCell ref="A5:R5"/>
    <mergeCell ref="A8:R8"/>
    <mergeCell ref="A22:R22"/>
    <mergeCell ref="A28:R28"/>
    <mergeCell ref="A31:R31"/>
  </mergeCells>
  <conditionalFormatting sqref="E5:E33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printOptions headings="false" gridLines="false" gridLinesSet="true" horizontalCentered="true" verticalCentered="false"/>
  <pageMargins left="0.3" right="0.3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8" min="7" style="0" width="14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15"/>
  </cols>
  <sheetData>
    <row r="1" customFormat="false" ht="30" hidden="false" customHeight="true" outlineLevel="0" collapsed="false">
      <c r="A1" s="1" t="s">
        <v>477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1.9" hidden="false" customHeight="false" outlineLevel="0" collapsed="false">
      <c r="A2" s="2" t="s">
        <v>478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6" hidden="false" customHeight="true" outlineLevel="0" collapsed="false">
      <c r="A4" s="10" t="s">
        <v>266</v>
      </c>
      <c r="B4" s="10" t="s">
        <v>479</v>
      </c>
      <c r="C4" s="10" t="s">
        <v>480</v>
      </c>
      <c r="D4" s="10" t="s">
        <v>481</v>
      </c>
      <c r="E4" s="10" t="s">
        <v>482</v>
      </c>
      <c r="F4" s="10" t="s">
        <v>483</v>
      </c>
      <c r="G4" s="10" t="s">
        <v>484</v>
      </c>
      <c r="H4" s="10" t="s">
        <v>485</v>
      </c>
      <c r="I4" s="10" t="s">
        <v>486</v>
      </c>
      <c r="J4" s="10" t="s">
        <v>276</v>
      </c>
      <c r="K4" s="10" t="s">
        <v>43</v>
      </c>
    </row>
    <row r="5" customFormat="false" ht="69.75" hidden="false" customHeight="true" outlineLevel="0" collapsed="false">
      <c r="A5" s="16" t="n">
        <v>1</v>
      </c>
      <c r="B5" s="14" t="s">
        <v>487</v>
      </c>
      <c r="C5" s="17" t="s">
        <v>488</v>
      </c>
      <c r="D5" s="16" t="s">
        <v>489</v>
      </c>
      <c r="E5" s="13" t="s">
        <v>490</v>
      </c>
      <c r="F5" s="13" t="s">
        <v>491</v>
      </c>
      <c r="G5" s="21" t="s">
        <v>492</v>
      </c>
      <c r="H5" s="21" t="s">
        <v>493</v>
      </c>
      <c r="I5" s="35" t="s">
        <v>375</v>
      </c>
      <c r="J5" s="16" t="s">
        <v>494</v>
      </c>
      <c r="K5" s="13" t="s">
        <v>495</v>
      </c>
    </row>
    <row r="6" customFormat="false" ht="69.75" hidden="false" customHeight="true" outlineLevel="0" collapsed="false">
      <c r="A6" s="16" t="n">
        <v>2</v>
      </c>
      <c r="B6" s="14" t="s">
        <v>496</v>
      </c>
      <c r="C6" s="17" t="s">
        <v>497</v>
      </c>
      <c r="D6" s="16" t="s">
        <v>498</v>
      </c>
      <c r="E6" s="13" t="s">
        <v>499</v>
      </c>
      <c r="F6" s="13" t="s">
        <v>500</v>
      </c>
      <c r="G6" s="21" t="s">
        <v>501</v>
      </c>
      <c r="H6" s="21" t="s">
        <v>502</v>
      </c>
      <c r="I6" s="36" t="s">
        <v>384</v>
      </c>
      <c r="J6" s="16" t="s">
        <v>503</v>
      </c>
      <c r="K6" s="13" t="s">
        <v>298</v>
      </c>
    </row>
    <row r="7" customFormat="false" ht="69.75" hidden="false" customHeight="true" outlineLevel="0" collapsed="false">
      <c r="A7" s="16" t="n">
        <v>3</v>
      </c>
      <c r="B7" s="14" t="s">
        <v>504</v>
      </c>
      <c r="C7" s="17" t="s">
        <v>505</v>
      </c>
      <c r="D7" s="16" t="s">
        <v>506</v>
      </c>
      <c r="E7" s="13" t="s">
        <v>507</v>
      </c>
      <c r="F7" s="13" t="s">
        <v>508</v>
      </c>
      <c r="G7" s="21" t="s">
        <v>509</v>
      </c>
      <c r="H7" s="21" t="s">
        <v>510</v>
      </c>
      <c r="I7" s="35" t="s">
        <v>375</v>
      </c>
      <c r="J7" s="16" t="s">
        <v>286</v>
      </c>
      <c r="K7" s="13" t="s">
        <v>511</v>
      </c>
    </row>
    <row r="8" customFormat="false" ht="69.75" hidden="false" customHeight="true" outlineLevel="0" collapsed="false">
      <c r="A8" s="16" t="n">
        <v>4</v>
      </c>
      <c r="B8" s="14" t="s">
        <v>512</v>
      </c>
      <c r="C8" s="13" t="s">
        <v>513</v>
      </c>
      <c r="D8" s="16" t="s">
        <v>514</v>
      </c>
      <c r="E8" s="13" t="s">
        <v>515</v>
      </c>
      <c r="F8" s="13" t="s">
        <v>516</v>
      </c>
      <c r="G8" s="37" t="s">
        <v>517</v>
      </c>
      <c r="H8" s="21" t="s">
        <v>518</v>
      </c>
      <c r="I8" s="36" t="s">
        <v>384</v>
      </c>
      <c r="J8" s="16" t="s">
        <v>519</v>
      </c>
      <c r="K8" s="13" t="s">
        <v>520</v>
      </c>
    </row>
  </sheetData>
  <mergeCells count="2">
    <mergeCell ref="A1:K1"/>
    <mergeCell ref="A2:K2"/>
  </mergeCells>
  <printOptions headings="false" gridLines="false" gridLinesSet="true" horizontalCentered="true" verticalCentered="false"/>
  <pageMargins left="0.3" right="0.3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4"/>
    <col collapsed="false" customWidth="true" hidden="false" outlineLevel="0" max="3" min="3" style="0" width="12"/>
    <col collapsed="false" customWidth="true" hidden="false" outlineLevel="0" max="4" min="4" style="0" width="64"/>
  </cols>
  <sheetData>
    <row r="1" customFormat="false" ht="30" hidden="false" customHeight="true" outlineLevel="0" collapsed="false">
      <c r="A1" s="1" t="s">
        <v>521</v>
      </c>
      <c r="B1" s="1"/>
      <c r="C1" s="1"/>
      <c r="D1" s="1"/>
    </row>
    <row r="2" customFormat="false" ht="11.9" hidden="false" customHeight="false" outlineLevel="0" collapsed="false">
      <c r="A2" s="2" t="s">
        <v>522</v>
      </c>
      <c r="B2" s="2"/>
      <c r="C2" s="2"/>
      <c r="D2" s="2"/>
    </row>
    <row r="4" customFormat="false" ht="36" hidden="false" customHeight="true" outlineLevel="0" collapsed="false">
      <c r="A4" s="10" t="s">
        <v>523</v>
      </c>
      <c r="B4" s="10" t="s">
        <v>524</v>
      </c>
      <c r="C4" s="10" t="s">
        <v>525</v>
      </c>
      <c r="D4" s="10" t="s">
        <v>526</v>
      </c>
    </row>
    <row r="5" customFormat="false" ht="33.75" hidden="false" customHeight="true" outlineLevel="0" collapsed="false">
      <c r="A5" s="12" t="s">
        <v>527</v>
      </c>
      <c r="B5" s="13" t="s">
        <v>528</v>
      </c>
      <c r="C5" s="12" t="s">
        <v>529</v>
      </c>
      <c r="D5" s="17" t="s">
        <v>530</v>
      </c>
    </row>
    <row r="6" customFormat="false" ht="33.75" hidden="false" customHeight="true" outlineLevel="0" collapsed="false">
      <c r="A6" s="12" t="s">
        <v>531</v>
      </c>
      <c r="B6" s="13" t="s">
        <v>532</v>
      </c>
      <c r="C6" s="12" t="s">
        <v>529</v>
      </c>
      <c r="D6" s="17" t="s">
        <v>533</v>
      </c>
    </row>
    <row r="7" customFormat="false" ht="33.75" hidden="false" customHeight="true" outlineLevel="0" collapsed="false">
      <c r="A7" s="12" t="s">
        <v>534</v>
      </c>
      <c r="B7" s="13" t="s">
        <v>535</v>
      </c>
      <c r="C7" s="12" t="str">
        <f aca="false">IF(COUNTIFS(FMEA!G5:G24,"&gt;=9",FMEA!N5:N24,"&lt;&gt;CRITICAL")=0,"✓","✗")</f>
        <v>✓</v>
      </c>
      <c r="D7" s="13" t="s">
        <v>536</v>
      </c>
    </row>
    <row r="8" customFormat="false" ht="33.75" hidden="false" customHeight="true" outlineLevel="0" collapsed="false">
      <c r="A8" s="12" t="s">
        <v>537</v>
      </c>
      <c r="B8" s="13" t="s">
        <v>538</v>
      </c>
      <c r="C8" s="12" t="s">
        <v>529</v>
      </c>
      <c r="D8" s="13" t="s">
        <v>539</v>
      </c>
    </row>
    <row r="9" customFormat="false" ht="33.75" hidden="false" customHeight="true" outlineLevel="0" collapsed="false">
      <c r="A9" s="12" t="s">
        <v>540</v>
      </c>
      <c r="B9" s="13" t="s">
        <v>541</v>
      </c>
      <c r="C9" s="12" t="s">
        <v>542</v>
      </c>
      <c r="D9" s="13" t="s">
        <v>543</v>
      </c>
    </row>
    <row r="10" customFormat="false" ht="33.75" hidden="false" customHeight="true" outlineLevel="0" collapsed="false">
      <c r="A10" s="12" t="s">
        <v>544</v>
      </c>
      <c r="B10" s="13" t="s">
        <v>545</v>
      </c>
      <c r="C10" s="12" t="s">
        <v>542</v>
      </c>
      <c r="D10" s="13" t="s">
        <v>546</v>
      </c>
    </row>
    <row r="11" customFormat="false" ht="33.75" hidden="false" customHeight="true" outlineLevel="0" collapsed="false">
      <c r="A11" s="12" t="s">
        <v>547</v>
      </c>
      <c r="B11" s="13" t="s">
        <v>548</v>
      </c>
      <c r="C11" s="12" t="s">
        <v>542</v>
      </c>
      <c r="D11" s="17" t="s">
        <v>549</v>
      </c>
    </row>
    <row r="12" customFormat="false" ht="33.75" hidden="false" customHeight="true" outlineLevel="0" collapsed="false">
      <c r="A12" s="12" t="s">
        <v>550</v>
      </c>
      <c r="B12" s="13" t="s">
        <v>551</v>
      </c>
      <c r="C12" s="12" t="str">
        <f aca="false">IF(COUNTIFS(FMEA!N5:N24,"CRITICAL",FMEA!O5:O24,"ขาด")=0,"✓","✗")</f>
        <v>✓</v>
      </c>
      <c r="D12" s="13" t="s">
        <v>552</v>
      </c>
    </row>
    <row r="13" customFormat="false" ht="33.75" hidden="false" customHeight="true" outlineLevel="0" collapsed="false">
      <c r="A13" s="12" t="s">
        <v>553</v>
      </c>
      <c r="B13" s="13" t="s">
        <v>554</v>
      </c>
      <c r="C13" s="12" t="s">
        <v>542</v>
      </c>
      <c r="D13" s="13" t="s">
        <v>555</v>
      </c>
    </row>
    <row r="14" customFormat="false" ht="33.75" hidden="false" customHeight="true" outlineLevel="0" collapsed="false">
      <c r="A14" s="12" t="s">
        <v>556</v>
      </c>
      <c r="B14" s="13" t="s">
        <v>557</v>
      </c>
      <c r="C14" s="12" t="s">
        <v>529</v>
      </c>
      <c r="D14" s="17" t="s">
        <v>558</v>
      </c>
    </row>
  </sheetData>
  <mergeCells count="2">
    <mergeCell ref="A1:D1"/>
    <mergeCell ref="A2:D2"/>
  </mergeCells>
  <conditionalFormatting sqref="C5:C14">
    <cfRule type="cellIs" priority="2" operator="equal" aboveAverage="0" equalAverage="0" bottom="0" percent="0" rank="0" text="" dxfId="5">
      <formula>"✓"</formula>
    </cfRule>
    <cfRule type="cellIs" priority="3" operator="equal" aboveAverage="0" equalAverage="0" bottom="0" percent="0" rank="0" text="" dxfId="6">
      <formula>"△"</formula>
    </cfRule>
    <cfRule type="cellIs" priority="4" operator="equal" aboveAverage="0" equalAverage="0" bottom="0" percent="0" rank="0" text="" dxfId="4">
      <formula>"✗"</formula>
    </cfRule>
  </conditionalFormatting>
  <printOptions headings="false" gridLines="false" gridLinesSet="true" horizontalCentered="true" verticalCentered="false"/>
  <pageMargins left="0.3" right="0.3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0"/>
    <col collapsed="false" customWidth="true" hidden="false" outlineLevel="0" max="3" min="3" style="0" width="40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28"/>
  </cols>
  <sheetData>
    <row r="1" customFormat="false" ht="30" hidden="false" customHeight="true" outlineLevel="0" collapsed="false">
      <c r="A1" s="1" t="s">
        <v>559</v>
      </c>
      <c r="B1" s="1"/>
      <c r="C1" s="1"/>
      <c r="D1" s="1"/>
      <c r="E1" s="1"/>
      <c r="F1" s="1"/>
      <c r="G1" s="1"/>
    </row>
    <row r="2" customFormat="false" ht="11.9" hidden="false" customHeight="false" outlineLevel="0" collapsed="false">
      <c r="A2" s="2" t="s">
        <v>560</v>
      </c>
      <c r="B2" s="2"/>
      <c r="C2" s="2"/>
      <c r="D2" s="2"/>
      <c r="E2" s="2"/>
      <c r="F2" s="2"/>
      <c r="G2" s="2"/>
    </row>
    <row r="4" customFormat="false" ht="36" hidden="false" customHeight="true" outlineLevel="0" collapsed="false">
      <c r="A4" s="10" t="s">
        <v>266</v>
      </c>
      <c r="B4" s="10" t="s">
        <v>561</v>
      </c>
      <c r="C4" s="10" t="s">
        <v>562</v>
      </c>
      <c r="D4" s="10" t="s">
        <v>563</v>
      </c>
      <c r="E4" s="10" t="s">
        <v>564</v>
      </c>
      <c r="F4" s="10" t="s">
        <v>565</v>
      </c>
      <c r="G4" s="10" t="s">
        <v>566</v>
      </c>
    </row>
    <row r="5" customFormat="false" ht="36" hidden="false" customHeight="true" outlineLevel="0" collapsed="false">
      <c r="A5" s="16" t="n">
        <v>1</v>
      </c>
      <c r="B5" s="13" t="s">
        <v>567</v>
      </c>
      <c r="C5" s="13" t="s">
        <v>568</v>
      </c>
      <c r="D5" s="15" t="s">
        <v>47</v>
      </c>
      <c r="E5" s="38"/>
      <c r="F5" s="38"/>
      <c r="G5" s="38"/>
    </row>
    <row r="6" customFormat="false" ht="36" hidden="false" customHeight="true" outlineLevel="0" collapsed="false">
      <c r="A6" s="16" t="n">
        <v>2</v>
      </c>
      <c r="B6" s="13" t="s">
        <v>569</v>
      </c>
      <c r="C6" s="13" t="s">
        <v>570</v>
      </c>
      <c r="D6" s="15" t="s">
        <v>47</v>
      </c>
      <c r="E6" s="38"/>
      <c r="F6" s="38"/>
      <c r="G6" s="38"/>
    </row>
    <row r="7" customFormat="false" ht="36" hidden="false" customHeight="true" outlineLevel="0" collapsed="false">
      <c r="A7" s="16" t="n">
        <v>3</v>
      </c>
      <c r="B7" s="13" t="s">
        <v>571</v>
      </c>
      <c r="C7" s="13" t="s">
        <v>572</v>
      </c>
      <c r="D7" s="17" t="s">
        <v>573</v>
      </c>
      <c r="E7" s="38"/>
      <c r="F7" s="38"/>
      <c r="G7" s="38"/>
    </row>
    <row r="8" customFormat="false" ht="36" hidden="false" customHeight="true" outlineLevel="0" collapsed="false">
      <c r="A8" s="16" t="n">
        <v>4</v>
      </c>
      <c r="B8" s="13" t="s">
        <v>574</v>
      </c>
      <c r="C8" s="13" t="s">
        <v>575</v>
      </c>
      <c r="D8" s="17" t="s">
        <v>576</v>
      </c>
      <c r="E8" s="38"/>
      <c r="F8" s="38"/>
      <c r="G8" s="38"/>
    </row>
    <row r="9" customFormat="false" ht="36" hidden="false" customHeight="true" outlineLevel="0" collapsed="false">
      <c r="A9" s="16" t="n">
        <v>5</v>
      </c>
      <c r="B9" s="17" t="s">
        <v>577</v>
      </c>
      <c r="C9" s="13" t="s">
        <v>578</v>
      </c>
      <c r="D9" s="13" t="s">
        <v>579</v>
      </c>
      <c r="E9" s="38"/>
      <c r="F9" s="38"/>
      <c r="G9" s="38"/>
    </row>
    <row r="10" customFormat="false" ht="36" hidden="false" customHeight="true" outlineLevel="0" collapsed="false">
      <c r="A10" s="16" t="n">
        <v>6</v>
      </c>
      <c r="B10" s="13" t="s">
        <v>580</v>
      </c>
      <c r="C10" s="13" t="s">
        <v>581</v>
      </c>
      <c r="D10" s="13" t="s">
        <v>582</v>
      </c>
      <c r="E10" s="38"/>
      <c r="F10" s="38"/>
      <c r="G10" s="38"/>
    </row>
    <row r="11" customFormat="false" ht="36" hidden="false" customHeight="true" outlineLevel="0" collapsed="false">
      <c r="A11" s="16" t="n">
        <v>7</v>
      </c>
      <c r="B11" s="13" t="s">
        <v>583</v>
      </c>
      <c r="C11" s="13" t="s">
        <v>584</v>
      </c>
      <c r="D11" s="13" t="s">
        <v>585</v>
      </c>
      <c r="E11" s="38"/>
      <c r="F11" s="38"/>
      <c r="G11" s="38"/>
    </row>
    <row r="12" customFormat="false" ht="36" hidden="false" customHeight="true" outlineLevel="0" collapsed="false">
      <c r="A12" s="16" t="n">
        <v>8</v>
      </c>
      <c r="B12" s="13" t="s">
        <v>586</v>
      </c>
      <c r="C12" s="13" t="s">
        <v>587</v>
      </c>
      <c r="D12" s="13" t="s">
        <v>579</v>
      </c>
      <c r="E12" s="38"/>
      <c r="F12" s="38"/>
      <c r="G12" s="38"/>
    </row>
    <row r="13" customFormat="false" ht="36" hidden="false" customHeight="true" outlineLevel="0" collapsed="false">
      <c r="A13" s="16" t="n">
        <v>9</v>
      </c>
      <c r="B13" s="13" t="s">
        <v>588</v>
      </c>
      <c r="C13" s="13" t="s">
        <v>589</v>
      </c>
      <c r="D13" s="17" t="s">
        <v>590</v>
      </c>
      <c r="E13" s="38"/>
      <c r="F13" s="38"/>
      <c r="G13" s="38"/>
    </row>
    <row r="14" customFormat="false" ht="36" hidden="false" customHeight="true" outlineLevel="0" collapsed="false">
      <c r="A14" s="16" t="n">
        <v>10</v>
      </c>
      <c r="B14" s="13" t="s">
        <v>591</v>
      </c>
      <c r="C14" s="13" t="s">
        <v>592</v>
      </c>
      <c r="D14" s="13" t="s">
        <v>593</v>
      </c>
      <c r="E14" s="38"/>
      <c r="F14" s="38"/>
      <c r="G14" s="38"/>
    </row>
  </sheetData>
  <mergeCells count="2">
    <mergeCell ref="A1:G1"/>
    <mergeCell ref="A2:G2"/>
  </mergeCells>
  <printOptions headings="false" gridLines="false" gridLinesSet="true" horizontalCentered="true" verticalCentered="false"/>
  <pageMargins left="0.3" right="0.3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2026-10-05T06:34:46Z</dcterms:created>
  <dc:creator>openpyxl</dc:creator>
  <dc:description/>
  <dc:language>en-US</dc:language>
  <cp:lastModifiedBy/>
  <dcterms:modified xsi:type="dcterms:W3CDTF">2026-10-05T06:34:46Z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