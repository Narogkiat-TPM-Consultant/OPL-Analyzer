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Daily_Check" sheetId="2" state="visible" r:id="rId4"/>
    <sheet name="Weekly_Check" sheetId="3" state="visible" r:id="rId5"/>
    <sheet name="Periodic_Check" sheetId="4" state="visible" r:id="rId6"/>
    <sheet name="Reference" sheetId="5" state="visible" r:id="rId7"/>
    <sheet name="To_Confirm" sheetId="6" state="visible" r:id="rId8"/>
  </sheets>
  <definedNames>
    <definedName function="false" hidden="false" localSheetId="1" name="_xlnm.Print_Titles" vbProcedure="false">Daily_Check!$7:$7</definedName>
    <definedName function="false" hidden="false" localSheetId="3" name="_xlnm.Print_Titles" vbProcedure="false">Periodic_Check!$5:$5</definedName>
    <definedName function="false" hidden="false" localSheetId="2" name="_xlnm.Print_Titles" vbProcedure="false">Weekly_Check!$5:$5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<sst xmlns="http://schemas.openxmlformats.org/spreadsheetml/2006/main" count="462" uniqueCount="354">
  <si>
    <r>
      <rPr>
        <b val="true"/>
        <sz val="15"/>
        <color rgb="FFFFFFFF"/>
        <rFont val="Tahoma"/>
        <family val="0"/>
        <charset val="1"/>
      </rPr>
      <t xml:space="preserve">AM Check Sheet — Pneumatic System (</t>
    </r>
    <r>
      <rPr>
        <b val="true"/>
        <sz val="15"/>
        <color rgb="FFFFFFFF"/>
        <rFont val="WenQuanYi Zen Hei"/>
        <family val="2"/>
      </rPr>
      <t xml:space="preserve">自主保全 点検表 </t>
    </r>
    <r>
      <rPr>
        <b val="true"/>
        <sz val="15"/>
        <color rgb="FFFFFFFF"/>
        <rFont val="Tahoma"/>
        <family val="0"/>
        <charset val="1"/>
      </rPr>
      <t xml:space="preserve">= ใบตรวจ AM · ระบบลม)</t>
    </r>
  </si>
  <si>
    <t xml:space="preserve">จากเกณฑ์ใน OPL 5'-C-1 … 5'-C-5 (EP28–EP31) และ 5'-A-4 … 5'-A-6 (EP23–EP25) · JIPM-Solutions · Equipment Skills Training – Pneumatic</t>
  </si>
  <si>
    <t xml:space="preserve">ชีท</t>
  </si>
  <si>
    <t xml:space="preserve">ใช้ทำอะไร</t>
  </si>
  <si>
    <t xml:space="preserve">Daily_Check</t>
  </si>
  <si>
    <t xml:space="preserve">ตรวจทุกวัน: Drain วันละ 1 ครั้ง → ชุด 3 ตัว (FRL) ด้วยตา → ขณะเดินเครื่อง 4 ข้อ + หยดน้ำมัน · ช่องวันที่ 1–31</t>
  </si>
  <si>
    <t xml:space="preserve">Weekly_Check</t>
  </si>
  <si>
    <t xml:space="preserve">เติมน้ำมัน Lubricator · รายการตรวจช่วงไลน์หยุด · การรัดสายลม · เกจแรงดัน · ช่องสัปดาห์ W1–W5</t>
  </si>
  <si>
    <t xml:space="preserve">Periodic_Check</t>
  </si>
  <si>
    <t xml:space="preserve">ทุก 3 เดือน: ตรวจการทำงาน + ลมรั่ว (Table 1–2) · ทุก 1 ปี: ถอดตรวจภายใน · ช่องเดือน ม.ค.–ธ.ค.</t>
  </si>
  <si>
    <t xml:space="preserve">Reference</t>
  </si>
  <si>
    <t xml:space="preserve">ผลที่ Exhaust port · จุดตรวจลมรั่ว · มาตรฐานหยดน้ำมัน · หลักการรัดสายลม</t>
  </si>
  <si>
    <t xml:space="preserve">To_Confirm</t>
  </si>
  <si>
    <t xml:space="preserve">ประเด็นที่หัวหน้างาน/Safety ต้องยืนยันก่อนใช้จริง</t>
  </si>
  <si>
    <t xml:space="preserve">สัญลักษณ์ผลตรวจ</t>
  </si>
  <si>
    <t xml:space="preserve">○ ปกติ (OK) · △ เฝ้าดู (Watch) · × ผิดปกติ (NG → ทำตามช่อง “เมื่อพบ NG” + ติด F-tag) · — ไม่ได้ตรวจ</t>
  </si>
  <si>
    <t xml:space="preserve">ช่องที่ต้องกรอก</t>
  </si>
  <si>
    <t xml:space="preserve">ช่องสีเหลือง = ข้อมูลเครื่อง/ลายเซ็น · ช่องตาราง = เลือกจาก drop-down (○ △ × —)</t>
  </si>
  <si>
    <t xml:space="preserve">คำนวณอัตโนมัติ</t>
  </si>
  <si>
    <t xml:space="preserve">ช่องสีเทา “× รวม” และแถว “จำนวน × / △ ต่อวัน” นับจากตารางให้เอง</t>
  </si>
  <si>
    <t xml:space="preserve">ที่มา</t>
  </si>
  <si>
    <t xml:space="preserve">PDF p.x = มาจากเอกสารต้นฉบับ · * ข้อเสนอ = ต้นฉบับไม่ระบุ ให้หัวหน้างานยืนยัน · [DATA REQUIRED] = ต้องใส่ค่าของเครื่อง</t>
  </si>
  <si>
    <t xml:space="preserve">ตัวอย่างการกรอก</t>
  </si>
  <si>
    <t xml:space="preserve">วันที่ 3 ข้อ “Lubricator: หยดน้ำมันใน Sight glass” = ×  (0 หยด/นาที) → แจ้งช่างซ่อมบำรุง ติด F-tag แดง และเขียนหมายเหตุ “0 หยด/นาที เวลา 09:15”</t>
  </si>
  <si>
    <t xml:space="preserve">ความปลอดภัย</t>
  </si>
  <si>
    <t xml:space="preserve">ก่อนถอดถ้วย/เปลี่ยนไส้กรอง/เติมน้ำมัน: ปล่อยลมค้างให้หมด (ถ้วยอาจหลุดกระเด็น, p.38) · ปิดลม + LOTO + ระวังกระบอกสูบขยับตอนจ่ายลมกลับ (ข้อเสนอ — ยืนยันกับขั้นตอนของโรงงาน)</t>
  </si>
  <si>
    <t xml:space="preserve">AM Check Sheet — Pneumatic System · ตรวจประจำวัน (Daily)</t>
  </si>
  <si>
    <t xml:space="preserve">○ ปกติ · △ เฝ้าดู · × ผิดปกติ · — ไม่ได้ตรวจ   |   * = ข้อเสนอ ให้หัวหน้างานยืนยัน   |   ที่มา: OPL 5'-C-1, 5'-C-5, 5'-A-6 (EP28, EP31, EP25)</t>
  </si>
  <si>
    <t xml:space="preserve">เครื่องจักร</t>
  </si>
  <si>
    <t xml:space="preserve">Line / แผนก</t>
  </si>
  <si>
    <t xml:space="preserve">ค่าตั้งแรงดัน Regulator</t>
  </si>
  <si>
    <t xml:space="preserve">[DATA REQUIRED]</t>
  </si>
  <si>
    <t xml:space="preserve">เวลารอบปกติ (วินาที)</t>
  </si>
  <si>
    <t xml:space="preserve">หยดน้ำมัน (หยด/นาที)</t>
  </si>
  <si>
    <t xml:space="preserve">2–6 (มาตรฐาน p.40)</t>
  </si>
  <si>
    <t xml:space="preserve">ผู้รับผิดชอบ</t>
  </si>
  <si>
    <t xml:space="preserve">เดือน / ปี</t>
  </si>
  <si>
    <t xml:space="preserve">No.</t>
  </si>
  <si>
    <t xml:space="preserve">จุดตรวจ (Item)</t>
  </si>
  <si>
    <t xml:space="preserve">วิธีตรวจ</t>
  </si>
  <si>
    <t xml:space="preserve">เกณฑ์ OK</t>
  </si>
  <si>
    <t xml:space="preserve">เมื่อพบ NG (×)</t>
  </si>
  <si>
    <t xml:space="preserve">OPL · วิดีโอ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</si>
  <si>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</si>
  <si>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</si>
  <si>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</si>
  <si>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</si>
  <si>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</si>
  <si>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</si>
  <si>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</si>
  <si>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</si>
  <si>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</si>
  <si>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</si>
  <si>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</si>
  <si>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</si>
  <si>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</si>
  <si>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</si>
  <si>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</si>
  <si>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</si>
  <si>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</si>
  <si>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</si>
  <si>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</si>
  <si>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</si>
  <si>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</si>
  <si>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</si>
  <si>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</si>
  <si>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</si>
  <si>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</si>
  <si>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</si>
  <si>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</si>
  <si>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</si>
  <si>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</si>
  <si>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</si>
  <si>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</si>
  <si>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× รวม</t>
  </si>
  <si>
    <t xml:space="preserve">หมายเหตุ</t>
  </si>
  <si>
    <t xml:space="preserve">Drain · วันละ 1 ครั้ง (ต้นกะแรก *) · OPL 5'-C-1, 5'-C-5</t>
  </si>
  <si>
    <t xml:space="preserve">Air filter: น้ำขังในถ้วยกรอง (Bowl ใส)</t>
  </si>
  <si>
    <t xml:space="preserve">ตา</t>
  </si>
  <si>
    <t xml:space="preserve">ไม่มีน้ำขังในถ้วย</t>
  </si>
  <si>
    <t xml:space="preserve">มีน้ำ → เปิดวาล์ว Drain (Manual) ระบายออก · แบบ Auto drain ยังมีน้ำขัง → แจ้งช่าง เปลี่ยนชิ้นส่วน *</t>
  </si>
  <si>
    <t xml:space="preserve">PDF p.44, p.49 · ต้นกะ *</t>
  </si>
  <si>
    <t xml:space="preserve">5'-C-1, 5'-C-5 · EP28, EP31, EP26</t>
  </si>
  <si>
    <t xml:space="preserve">ชุด 3 ตัว (FRL) · ดูด้วยตา · OPL 5'-C-5</t>
  </si>
  <si>
    <t xml:space="preserve">Regulator: Lock nut หลวม</t>
  </si>
  <si>
    <t xml:space="preserve">Lock nut แน่น · ค่าตั้งไม่เคลื่อน</t>
  </si>
  <si>
    <t xml:space="preserve">หลวม → ขันให้แน่น (ค่าตั้งอาจเคลื่อน) · ค่าตั้งเคลื่อนแล้ว → แจ้งช่างตั้งค่าใหม่ *</t>
  </si>
  <si>
    <t xml:space="preserve">PDF p.49, p.39 · * ข้อเสนอ</t>
  </si>
  <si>
    <t xml:space="preserve">5'-C-5, 5'-A-5 · EP31, EP24</t>
  </si>
  <si>
    <t xml:space="preserve">Lubricator: น้ำมันในถ้วยขุ่นขาว</t>
  </si>
  <si>
    <t xml:space="preserve">น้ำมันใส ไม่ขุ่นขาว</t>
  </si>
  <si>
    <t xml:space="preserve">ขุ่นขาว = มีน้ำปน → เปลี่ยนน้ำมันใหม่</t>
  </si>
  <si>
    <t xml:space="preserve">PDF p.49</t>
  </si>
  <si>
    <t xml:space="preserve">5'-C-5 · EP31</t>
  </si>
  <si>
    <t xml:space="preserve">ถ้วยกรอง / ถ้วยน้ำมัน: แตกร้าว · มองไม่เห็นข้างใน</t>
  </si>
  <si>
    <t xml:space="preserve">ไม่แตกร้าว · สะอาด มองเห็นระดับชัด</t>
  </si>
  <si>
    <t xml:space="preserve">แตกร้าว → หยุดใช้ แจ้งช่าง * · สกปรก → ทำความสะอาด (ปล่อยลมค้างก่อน)</t>
  </si>
  <si>
    <t xml:space="preserve">PDF p.38, p.46 · * ข้อเสนอ</t>
  </si>
  <si>
    <t xml:space="preserve">5'-A-4 · EP23, EP29</t>
  </si>
  <si>
    <t xml:space="preserve">ขณะเดินเครื่อง (Running) · OPL 5'-C-1, 5'-C-5, 5'-A-6</t>
  </si>
  <si>
    <t xml:space="preserve">ความเร็วการทำงาน (กระบอกสูบ)</t>
  </si>
  <si>
    <t xml:space="preserve">ตา + นาฬิกาจับเวลา</t>
  </si>
  <si>
    <t xml:space="preserve">เหมือนทุกครั้ง (ช่อง เวลารอบปกติ)</t>
  </si>
  <si>
    <t xml:space="preserve">ช้า/เร็วผิดปกติ → แจ้งช่างซ่อมบำรุงทันที</t>
  </si>
  <si>
    <t xml:space="preserve">PDF p.44 · ค่าเวลา [DATA REQUIRED]</t>
  </si>
  <si>
    <t xml:space="preserve">5'-C-1 · EP28</t>
  </si>
  <si>
    <t xml:space="preserve">ท่อลม: สั่นผิดปกติ</t>
  </si>
  <si>
    <t xml:space="preserve">ตา · มือ (จุดปลอดภัย)</t>
  </si>
  <si>
    <t xml:space="preserve">ไม่สั่นผิดปกติ</t>
  </si>
  <si>
    <t xml:space="preserve">สั่นผิดปกติ (= มีปัญหา) → แจ้งช่างซ่อมบำรุงทันที</t>
  </si>
  <si>
    <t xml:space="preserve">PDF p.44</t>
  </si>
  <si>
    <t xml:space="preserve">เกจแรงดัน: อยู่ในช่วงใช้งานปกติ</t>
  </si>
  <si>
    <t xml:space="preserve">อยู่ในแถบเขียว / ที่ค่าตั้ง (ช่อง ค่าตั้งแรงดัน)</t>
  </si>
  <si>
    <t xml:space="preserve">นอกช่วง → แจ้งช่างซ่อมบำรุงทันที</t>
  </si>
  <si>
    <t xml:space="preserve">PDF p.44, p.39 · ค่าตั้ง [DATA REQUIRED]</t>
  </si>
  <si>
    <t xml:space="preserve">5'-C-1, 5'-A-5 · EP28, EP24</t>
  </si>
  <si>
    <t xml:space="preserve">เข็มเกจ Regulator แกว่งมาก</t>
  </si>
  <si>
    <t xml:space="preserve">เข็มนิ่ง ไม่แกว่งมาก</t>
  </si>
  <si>
    <t xml:space="preserve">แกว่งมาก = ไส้กรองตัน → เปลี่ยนไส้กรอง (Filter element) · แจ้งช่าง *</t>
  </si>
  <si>
    <t xml:space="preserve">PDF p.49 · * ข้อเสนอ</t>
  </si>
  <si>
    <t xml:space="preserve">Lubricator: หยดน้ำมันใน Sight glass (นับ 1 นาที)</t>
  </si>
  <si>
    <t xml:space="preserve">หยด 2–6 หยด/นาที (หรือค่าที่ฝ่ายซ่อมกำหนด)</t>
  </si>
  <si>
    <t xml:space="preserve">ไม่หยด = × → น้ำมันไปไม่ทั่ว ต้องปรับตั้ง + ซ่อม (แจ้งช่าง *) · หยดนอก 2–6 = △ → ปรึกษาฝ่ายซ่อมก่อนปรับ</t>
  </si>
  <si>
    <t xml:space="preserve">PDF p.49, p.40 · △ * ข้อเสนอ</t>
  </si>
  <si>
    <t xml:space="preserve">5'-C-5, 5'-A-6 · EP31, EP25</t>
  </si>
  <si>
    <t xml:space="preserve">หน้าแปลน · โบลต์ · ที่ยึดท่อ ใกล้เครื่อง: หลวม</t>
  </si>
  <si>
    <t xml:space="preserve">ไม่หลวม</t>
  </si>
  <si>
    <t xml:space="preserve">หลวม → แจ้งช่างซ่อมบำรุงทันที</t>
  </si>
  <si>
    <t xml:space="preserve">อื่นๆ ที่พบ (Others): ลมรั่วมีเสียงฟู่ ฯลฯ</t>
  </si>
  <si>
    <t xml:space="preserve">ตา · หู · มือ</t>
  </si>
  <si>
    <t xml:space="preserve">ไม่พบสิ่งผิดปกติ</t>
  </si>
  <si>
    <t xml:space="preserve">พบ → ติด F-tag + บันทึกในช่องหมายเหตุ + แจ้งช่าง *</t>
  </si>
  <si>
    <t xml:space="preserve">PDF p.44, p.48 · * ข้อเสนอ</t>
  </si>
  <si>
    <t xml:space="preserve">5'-C-1, 5'-C-5 · EP28, EP31</t>
  </si>
  <si>
    <t xml:space="preserve">จำนวน × ต่อวัน</t>
  </si>
  <si>
    <t xml:space="preserve">จำนวน △ ต่อวัน</t>
  </si>
  <si>
    <t xml:space="preserve">ผู้ตรวจ (ลงชื่อย่อ)</t>
  </si>
  <si>
    <t xml:space="preserve">หัวหน้างาน (ลงชื่อย่อ)</t>
  </si>
  <si>
    <t xml:space="preserve">AM Check Sheet — Pneumatic System · ตรวจรายสัปดาห์ (Weekly)</t>
  </si>
  <si>
    <t xml:space="preserve">เลือกช่วงที่ไลน์หยุด (p.44) · เติมน้ำมัน Lubricator สัปดาห์ละครั้ง (อัตราเดินเครื่องสูง ทุก 3 วัน) · ข้ออื่นความถี่ * = ข้อเสนอ · ที่มา: OPL 5'-C-1, 5'-C-4, 5'-A-5, 5'-A-6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</si>
  <si>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</si>
  <si>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</si>
  <si>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</si>
  <si>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</si>
  <si>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</si>
  <si>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Lubricator · สัปดาห์ละ 1 ครั้ง (อัตราเดินเครื่องสูง: ทุก 3 วัน) · OPL 5'-C-1, 5'-A-6</t>
  </si>
  <si>
    <t xml:space="preserve">Lubricator: เติมน้ำมัน (ปล่อยลมค้างก่อนเปิดฝา)</t>
  </si>
  <si>
    <t xml:space="preserve">เติมถึงระดับที่กำหนด · ไม่มีน้ำมันพุ่งตอนเปิดฝา</t>
  </si>
  <si>
    <t xml:space="preserve">ยังมีแรงดันค้าง → หยุด ปล่อยลมค้างก่อน (ดู Catalog ผู้ผลิต)</t>
  </si>
  <si>
    <t xml:space="preserve">PDF p.44, p.40</t>
  </si>
  <si>
    <t xml:space="preserve">5'-C-1, 5'-A-6 · EP28, EP25</t>
  </si>
  <si>
    <t xml:space="preserve">Lubricator: น้ำมันลดลงเร็วผิดปกติ (เทียบรอบก่อน)</t>
  </si>
  <si>
    <t xml:space="preserve">ลดลงตามปกติ</t>
  </si>
  <si>
    <t xml:space="preserve">ลดเร็ว = มีจุดรั่ว → หาจุดรั่วทันที · แจ้งช่าง *</t>
  </si>
  <si>
    <t xml:space="preserve">PDF p.44 · * ข้อเสนอ</t>
  </si>
  <si>
    <t xml:space="preserve">ช่วงไลน์หยุด · รายการตรวจรวม · OPL 5'-C-1</t>
  </si>
  <si>
    <t xml:space="preserve">รายการที่อันตรายถ้าตรวจขณะเดินเครื่อง (หน่วยงานกำหนด)</t>
  </si>
  <si>
    <t xml:space="preserve">พบผิดปกติ → แจ้งช่างซ่อมบำรุง *</t>
  </si>
  <si>
    <t xml:space="preserve">PDF p.44 · รายการ [DATA REQUIRED]</t>
  </si>
  <si>
    <t xml:space="preserve">การรัดสายลม (Air tube binding) · ความถี่ * · OPL 5'-C-4</t>
  </si>
  <si>
    <t xml:space="preserve">สายลมที่จุดรัด Binder (เคเบิลไทร์): สายบุบ/แบน</t>
  </si>
  <si>
    <t xml:space="preserve">สายกลม · รัดเผื่อระยะ (Ample room)</t>
  </si>
  <si>
    <t xml:space="preserve">สายบุบ → แจ้งหัวหน้างาน · รัดใหม่ *</t>
  </si>
  <si>
    <t xml:space="preserve">PDF p.47 · * ข้อเสนอ</t>
  </si>
  <si>
    <t xml:space="preserve">5'-C-4 · EP30</t>
  </si>
  <si>
    <t xml:space="preserve">Lock band (แบนด์ยึดสาย): ขนาด · จำนวนสาย</t>
  </si>
  <si>
    <t xml:space="preserve">ตรงขนาดสาย · ไม่เกินจำนวนที่กำหนด · ไม่ใช้ของทดแทน</t>
  </si>
  <si>
    <t xml:space="preserve">ไม่ตรง → แจ้งหัวหน้างาน · เปลี่ยน Band *</t>
  </si>
  <si>
    <t xml:space="preserve">สายลม: เสียดสีกัน / กับขอบโครงเครื่อง</t>
  </si>
  <si>
    <t xml:space="preserve">รัดเป็นระเบียบ · ไม่มีรอยสึก</t>
  </si>
  <si>
    <t xml:space="preserve">มีรอยสึก → แจ้งช่าง *</t>
  </si>
  <si>
    <t xml:space="preserve">ชุด 3 ตัว (FRL) · ความถี่ * · OPL 5'-A-4, 5'-A-5</t>
  </si>
  <si>
    <t xml:space="preserve">เกจแรงดัน: กระจกแตก · เข็มผิดปกติ · มีแถบเขียวที่ค่าตั้ง</t>
  </si>
  <si>
    <t xml:space="preserve">กระจกไม่แตก · เข็มปกติ · แถบเขียวชัด</t>
  </si>
  <si>
    <t xml:space="preserve">กระจกแตก/เข็มผิดปกติ → เปลี่ยนเกจ · ไม่มีแถบ → ทำแถบเขียวที่ค่าตั้ง</t>
  </si>
  <si>
    <t xml:space="preserve">PDF p.39</t>
  </si>
  <si>
    <t xml:space="preserve">5'-A-5 · EP24</t>
  </si>
  <si>
    <t xml:space="preserve">จำนวน × ต่อสัปดาห์</t>
  </si>
  <si>
    <t xml:space="preserve">AM / PM Check Sheet — Pneumatic System · ตรวจตามรอบ (3 เดือน / 1 ปี)</t>
  </si>
  <si>
    <t xml:space="preserve">ทุก 3 เดือน: Table 1 + ลมรั่ว Table 2 (PDF p.45) · ทุก 1 ปี: ถอดตรวจภายใน (PDF p.46) — ช่องสีเหลือง = กำหนดเดือนที่ตรวจ/ผู้ตรวจ</t>
  </si>
  <si>
    <t xml:space="preserve">ปี</t>
  </si>
  <si>
    <t xml:space="preserve">ผู้ตรวจ 3 เดือน / 1 ปี *</t>
  </si>
  <si>
    <t xml:space="preserve">ความถี่</t>
  </si>
  <si>
    <t xml:space="preserve">ม.ค.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</si>
  <si>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</si>
  <si>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</si>
  <si>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</si>
  <si>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</si>
  <si>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</si>
  <si>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ก.ค.</t>
  </si>
  <si>
    <t xml:space="preserve">ส.ค.</t>
  </si>
  <si>
    <t xml:space="preserve">ก.ย.</t>
  </si>
  <si>
    <t xml:space="preserve">ต.ค.</t>
  </si>
  <si>
    <t xml:space="preserve">พ.ย.</t>
  </si>
  <si>
    <t xml:space="preserve">ธ.ค.</t>
  </si>
  <si>
    <t xml:space="preserve">ทุก 3 เดือน: ตรวจการทำงาน · Table 1 · OPL 5'-C-2 (ไม่พบปัญหา → ค่อยๆ ยืดรอบ)</t>
  </si>
  <si>
    <t xml:space="preserve">Air filter: Auto drain ทำงาน</t>
  </si>
  <si>
    <t xml:space="preserve">3 เดือน</t>
  </si>
  <si>
    <t xml:space="preserve">ระบายน้ำได้เอง</t>
  </si>
  <si>
    <t xml:space="preserve">ไม่ระบาย → แจ้งช่าง เปลี่ยนชิ้นส่วน *</t>
  </si>
  <si>
    <t xml:space="preserve">PDF p.45, p.49</t>
  </si>
  <si>
    <t xml:space="preserve">5'-C-2 · EP29</t>
  </si>
  <si>
    <t xml:space="preserve">Regulator: ลองหมุนปรับแรงดัน</t>
  </si>
  <si>
    <t xml:space="preserve">ขัน → แรงดันเพิ่ม · คลาย → ลด · ตั้งกลับค่าตั้ง + ขัน Lock nut</t>
  </si>
  <si>
    <t xml:space="preserve">เกจไม่เปลี่ยนตาม → แจ้งช่างซ่อมบำรุง *</t>
  </si>
  <si>
    <t xml:space="preserve">PDF p.45, p.39</t>
  </si>
  <si>
    <t xml:space="preserve">5'-C-2, 5'-A-5 · EP29, EP24</t>
  </si>
  <si>
    <t xml:space="preserve">Pressure gauge: ปล่อยแรงดันแล้วดูเข็ม</t>
  </si>
  <si>
    <t xml:space="preserve">ชี้ 0</t>
  </si>
  <si>
    <t xml:space="preserve">ไม่ชี้ 0 → เปลี่ยนเกจ *</t>
  </si>
  <si>
    <t xml:space="preserve">PDF p.45</t>
  </si>
  <si>
    <t xml:space="preserve">Direction valve: Exhaust port ดูการหล่อลื่น</t>
  </si>
  <si>
    <t xml:space="preserve">มีละอองน้ำมันพอดี (ดูชีท Reference A)</t>
  </si>
  <si>
    <t xml:space="preserve">น้อย/ไม่มี → ตรวจตำแหน่งติดตั้ง + การปรับ Lubricator · มากไป → ปรับ Lubricator ลด · ลมรั่ว → ดู Valve seat / สปริง</t>
  </si>
  <si>
    <t xml:space="preserve">Speed adjust valve: ลองปรับความเร็ว</t>
  </si>
  <si>
    <t xml:space="preserve">ความเร็วเปลี่ยนตามการปรับ</t>
  </si>
  <si>
    <t xml:space="preserve">ไม่เปลี่ยน → แจ้งช่าง *</t>
  </si>
  <si>
    <t xml:space="preserve">Air cylinder: ลมรั่วที่ก้านสูบ</t>
  </si>
  <si>
    <t xml:space="preserve">ไม่รั่ว</t>
  </si>
  <si>
    <t xml:space="preserve">รั่ว → แจ้งช่าง *</t>
  </si>
  <si>
    <t xml:space="preserve">ลมรั่ว: ระบบท่อ (Table 2)</t>
  </si>
  <si>
    <t xml:space="preserve">ไม่รั่วทุกจุด (ดูชีท Reference B)</t>
  </si>
  <si>
    <t xml:space="preserve">รั่ว → ติด F-tag แจ้งช่าง *</t>
  </si>
  <si>
    <t xml:space="preserve">ลมรั่ว: อุปกรณ์ FRL · วาล์ว · กระบอกสูบ (Table 2)</t>
  </si>
  <si>
    <t xml:space="preserve">ทุก 1 ปี: ถอดตรวจภายใน · OPL 5'-C-3 (ผู้ทำ: ช่างซ่อมบำรุง PM *) · ปิดลม + ปล่อยลมค้างก่อนถอด</t>
  </si>
  <si>
    <t xml:space="preserve">Air filter: Case แตกร้าว · ไส้กรองอุดตัน</t>
  </si>
  <si>
    <t xml:space="preserve">1 ปี</t>
  </si>
  <si>
    <t xml:space="preserve">ไม่แตกร้าว · ไม่อุดตัน</t>
  </si>
  <si>
    <t xml:space="preserve">เปลี่ยน Case / ไส้กรอง</t>
  </si>
  <si>
    <t xml:space="preserve">PDF p.46, p.38</t>
  </si>
  <si>
    <t xml:space="preserve">5'-C-3 · EP29</t>
  </si>
  <si>
    <t xml:space="preserve">Regulator: Diaphragm · สปริง (สนิม/ล้า/หัก) · Packing</t>
  </si>
  <si>
    <t xml:space="preserve">ไม่เสียหาย ไม่มีรอยบาก</t>
  </si>
  <si>
    <t xml:space="preserve">เปลี่ยนชิ้นส่วน</t>
  </si>
  <si>
    <t xml:space="preserve">PDF p.46</t>
  </si>
  <si>
    <t xml:space="preserve">Pressure gauge: ค่าเพี้ยน (Accuracy)</t>
  </si>
  <si>
    <t xml:space="preserve">ไม่เพี้ยน</t>
  </si>
  <si>
    <t xml:space="preserve">เปลี่ยน / สอบเทียบ *</t>
  </si>
  <si>
    <t xml:space="preserve">Relief valve: Valve seat · Diaphragm · สปริง</t>
  </si>
  <si>
    <t xml:space="preserve">ไม่มีรอยบาก ไม่เสียหาย ไม่สนิม/หัก</t>
  </si>
  <si>
    <t xml:space="preserve">Direction valve: ฉนวน Coil · Magnet core / สนิม · สปริง</t>
  </si>
  <si>
    <t xml:space="preserve">ฉนวนดี · Core สมบูรณ์ ไม่สนิม · สปริงไม่หัก</t>
  </si>
  <si>
    <t xml:space="preserve">Direction valve: Piston screw/ring · Spool · Diaphragm · O-ring · Cam lever</t>
  </si>
  <si>
    <t xml:space="preserve">ไม่หลวม เคลื่อนที่ราบรื่น · Spool ไม่บาก/สึก · O-ring ไม่เสียรูป/บาก/แข็ง · Cam lever ไม่สึก/เสียรูป</t>
  </si>
  <si>
    <t xml:space="preserve">Speed adjust valve: Needle valve · Seat packing</t>
  </si>
  <si>
    <t xml:space="preserve">ไม่มีรอยบาก ไม่เสียหาย</t>
  </si>
  <si>
    <t xml:space="preserve">Air cylinder: ผิวใน Tube · O-ring · Packing</t>
  </si>
  <si>
    <t xml:space="preserve">ไม่มีรอยบาก ไม่เสียรูป ไม่สึก</t>
  </si>
  <si>
    <t xml:space="preserve">จำนวน × ต่อเดือน</t>
  </si>
  <si>
    <t xml:space="preserve">Reference — เกณฑ์ประกอบการตรวจ</t>
  </si>
  <si>
    <t xml:space="preserve">ตามต้นฉบับ OPL 5'-C-2, 5'-A-6, 5'-C-1, 5'-C-4 · ใช้ประกอบข้อ “Exhaust port” “ลมรั่ว” “หยดน้ำมัน” “การรัดสายลม”</t>
  </si>
  <si>
    <t xml:space="preserve">A. ดูการหล่อลื่นที่ Exhaust port ของ Direction valve (ทุก 3 เดือน) — PDF p.45</t>
  </si>
  <si>
    <t xml:space="preserve">สิ่งที่เห็น</t>
  </si>
  <si>
    <t xml:space="preserve">ความหมาย</t>
  </si>
  <si>
    <t xml:space="preserve">สิ่งที่ต้องทำ</t>
  </si>
  <si>
    <t xml:space="preserve">ละอองน้ำมันน้อย / ไม่มี (If NG)</t>
  </si>
  <si>
    <t xml:space="preserve">น้ำมันไปไม่ถึง</t>
  </si>
  <si>
    <t xml:space="preserve">ตรวจตำแหน่งติดตั้ง Lubricator และการปรับตั้ง</t>
  </si>
  <si>
    <t xml:space="preserve">ละอองน้ำมันมากไป (If too much)</t>
  </si>
  <si>
    <t xml:space="preserve">จ่ายน้ำมันมากเกิน</t>
  </si>
  <si>
    <t xml:space="preserve">ปรับ Lubricator ลด (ปรึกษาฝ่ายซ่อมก่อน, p.40)</t>
  </si>
  <si>
    <t xml:space="preserve">มีลมรั่ว (If there is leak)</t>
  </si>
  <si>
    <t xml:space="preserve">วาล์วปิดไม่สนิท</t>
  </si>
  <si>
    <t xml:space="preserve">ตรวจ: ฝุ่นบน Valve seat · Valve seat มีรอยบาก · สปริงหัก/สนิม</t>
  </si>
  <si>
    <t xml:space="preserve">B. จุดตรวจลมรั่ว (Table 2) — ตรวจพร้อมรอบ 3 เดือน — PDF p.45</t>
  </si>
  <si>
    <t xml:space="preserve">กลุ่ม</t>
  </si>
  <si>
    <t xml:space="preserve">จุดตรวจ</t>
  </si>
  <si>
    <t xml:space="preserve">ระบบท่อ (Piping system)</t>
  </si>
  <si>
    <t xml:space="preserve">ข้อต่อเชื่อม (Welding coupling) · ข้อต่อเกลียว (Screw coupling) · ข้อต่อหน้าแปลน (Flange coupling) · Stop valve · สายยาง (Hose)</t>
  </si>
  <si>
    <t xml:space="preserve">อุปกรณ์ (Accessory / Others)</t>
  </si>
  <si>
    <t xml:space="preserve">Air filter: Case และ Drain cock · Regulator และ Relief hole · Lubricator · ช่องเติมน้ำมัน (Oil opening) · Direction valve และ Exhaust port · Air cylinder</t>
  </si>
  <si>
    <t xml:space="preserve">C. Lubricator: มาตรฐานหยดน้ำมันและการเติม — PDF p.40, p.44</t>
  </si>
  <si>
    <t xml:space="preserve">หัวข้อ</t>
  </si>
  <si>
    <t xml:space="preserve">เกณฑ์</t>
  </si>
  <si>
    <t xml:space="preserve">มาตรฐานหยดน้ำมัน</t>
  </si>
  <si>
    <t xml:space="preserve">2–6 หยด/นาที</t>
  </si>
  <si>
    <t xml:space="preserve">p.40</t>
  </si>
  <si>
    <t xml:space="preserve">ค่าตั้งจริง</t>
  </si>
  <si>
    <t xml:space="preserve">ขึ้นกับชนิดอุปกรณ์และสภาพการใช้งาน → ปรึกษาฝ่ายซ่อมก่อนปรับ</t>
  </si>
  <si>
    <t xml:space="preserve">ดูหยดในหน้าต่างหยดน้ำมันขณะเครื่องเดิน หรือดูน้ำมันที่ Silencer / Oil mist collector</t>
  </si>
  <si>
    <t xml:space="preserve">ก่อนเติมน้ำมัน</t>
  </si>
  <si>
    <t xml:space="preserve">ปล่อยแรงดันค้างก่อน (แบบ Selective ถ้าคลายฝาขณะมีแรงดัน น้ำมันจะพุ่งออก) · ดู Catalog ผู้ผลิต</t>
  </si>
  <si>
    <t xml:space="preserve">รอบเติมน้ำมัน</t>
  </si>
  <si>
    <t xml:space="preserve">สัปดาห์ละ 1 ครั้ง · อัตราเดินเครื่องสูง ทุก 3 วัน · ลดเร็ว = มีรั่ว</t>
  </si>
  <si>
    <t xml:space="preserve">p.44</t>
  </si>
  <si>
    <t xml:space="preserve">D. การรัดสายลม (Air tube binding) — PDF p.47</t>
  </si>
  <si>
    <t xml:space="preserve">รายละเอียด</t>
  </si>
  <si>
    <t xml:space="preserve">จุดประสงค์</t>
  </si>
  <si>
    <t xml:space="preserve">กันสายเสียดสีจากการสัมผัสบ่อย · ทำความสะอาดง่าย</t>
  </si>
  <si>
    <t xml:space="preserve">NG ①</t>
  </si>
  <si>
    <t xml:space="preserve">รัด Binder แน่นเกิน → สายบุบ/แบน → แรงดันและอัตราไหลไม่พอ</t>
  </si>
  <si>
    <t xml:space="preserve">NG ②</t>
  </si>
  <si>
    <t xml:space="preserve">Lock band ไม่ตรงขนาดสาย หรือใส่สายเกินจำนวน → ผลเหมือน NG ①</t>
  </si>
  <si>
    <t xml:space="preserve">OK ①</t>
  </si>
  <si>
    <t xml:space="preserve">รัดด้วย Binder: ดึงอย่างระวัง เผื่อระยะ (Ample room)</t>
  </si>
  <si>
    <t xml:space="preserve">OK ②</t>
  </si>
  <si>
    <t xml:space="preserve">Lock band: ตรงขนาดสาย + จำนวนสาย · ห้ามใช้ของทดแทน</t>
  </si>
  <si>
    <t xml:space="preserve">OK ③</t>
  </si>
  <si>
    <t xml:space="preserve">ใช้ Band สำหรับรัดสายลมโดยเฉพาะ ให้ตรงสภาพการรัด</t>
  </si>
  <si>
    <t xml:space="preserve">To Confirm — ประเด็นที่ต้องยืนยันก่อนใช้จริง</t>
  </si>
  <si>
    <t xml:space="preserve">ให้หัวหน้างาน / ฝ่ายซ่อมบำรุง / Safety ยืนยัน แล้วแก้ในชีทที่เกี่ยวข้อง</t>
  </si>
  <si>
    <t xml:space="preserve">ประเด็น</t>
  </si>
  <si>
    <t xml:space="preserve">ที่มา / สถานะ</t>
  </si>
  <si>
    <t xml:space="preserve">ผู้ยืนยัน</t>
  </si>
  <si>
    <t xml:space="preserve">วันที่</t>
  </si>
  <si>
    <t xml:space="preserve">ผล / ค่าที่ใช้</t>
  </si>
  <si>
    <t xml:space="preserve">ค่าตั้งแรงดันของ Regulator และแถบเขียวบนเกจ</t>
  </si>
  <si>
    <t xml:space="preserve">ใช้ในข้อ เกจแรงดัน: อยู่ในช่วงใช้งานปกติ</t>
  </si>
  <si>
    <t xml:space="preserve">[DATA REQUIRED] · PDF p.44, p.39</t>
  </si>
  <si>
    <t xml:space="preserve">เวลาต่อรอบปกติของกระบอกสูบ (วินาที)</t>
  </si>
  <si>
    <t xml:space="preserve">ใช้ในข้อ ความเร็วการทำงาน</t>
  </si>
  <si>
    <t xml:space="preserve">[DATA REQUIRED] · PDF p.44</t>
  </si>
  <si>
    <t xml:space="preserve">ค่าหยดน้ำมันของเครื่องนี้ (มาตรฐาน 2–6 หยด/นาที)</t>
  </si>
  <si>
    <t xml:space="preserve">ต้นฉบับให้ปรึกษาฝ่ายซ่อมเพราะขึ้นกับอุปกรณ์</t>
  </si>
  <si>
    <t xml:space="preserve">PDF p.40 · ฝ่ายซ่อมกำหนด</t>
  </si>
  <si>
    <t xml:space="preserve">ระดับ △ เมื่อหยดนอก 2–6 หยด/นาที</t>
  </si>
  <si>
    <t xml:space="preserve">ต้นฉบับมีแค่ หยด/ไม่หยด</t>
  </si>
  <si>
    <t xml:space="preserve">ข้อเสนอ</t>
  </si>
  <si>
    <t xml:space="preserve">เวลาตรวจ Drain (ต้นกะแรก)</t>
  </si>
  <si>
    <t xml:space="preserve">ต้นฉบับบอก วันละ 1 ครั้ง และกลางคืนอุณหภูมิลดจึงเกิดน้ำ</t>
  </si>
  <si>
    <t xml:space="preserve">ข้อเสนอ · PDF p.44</t>
  </si>
  <si>
    <t xml:space="preserve">เปิด Drain แบบ Manual ขณะมีลม หรือปล่อยลมก่อน</t>
  </si>
  <si>
    <t xml:space="preserve">ต้นฉบับเตือนเรื่องแรงดันค้างเฉพาะตอนถอดถ้วย/เติมน้ำมัน</t>
  </si>
  <si>
    <t xml:space="preserve">ให้ Safety ยืนยัน · PDF p.38, p.40</t>
  </si>
  <si>
    <t xml:space="preserve">วิธีปฏิบัติเมื่อ NG ที่มี * (แจ้งช่าง / หยุดใช้ / รัดใหม่)</t>
  </si>
  <si>
    <t xml:space="preserve">ต้นฉบับบอกจุดตรวจ แต่หลายข้อไม่ระบุผู้ทำ</t>
  </si>
  <si>
    <t xml:space="preserve">ความถี่ของการรัดสายลม · เกจ · ถ้วย ในชีท Weekly_Check</t>
  </si>
  <si>
    <t xml:space="preserve">ต้นฉบับไม่ระบุความถี่</t>
  </si>
  <si>
    <t xml:space="preserve">รายการตรวจที่อันตรายถ้าตรวจขณะเดินเครื่อง</t>
  </si>
  <si>
    <t xml:space="preserve">ต้นฉบับให้หน่วยงานทำรายการเองตอนไลน์หยุด</t>
  </si>
  <si>
    <t xml:space="preserve">ผู้ตรวจรอบ 3 เดือน และ 1 ปี (AM / PM)</t>
  </si>
  <si>
    <t xml:space="preserve">ชุดนี้เสนอให้ PM ถอดตรวจ 1 ปี</t>
  </si>
  <si>
    <t xml:space="preserve">ข้อเสนอ · PDF p.45–46</t>
  </si>
  <si>
    <t xml:space="preserve">เกณฑ์ยืดรอบ 3 เดือน เมื่อไม่พบปัญหา</t>
  </si>
  <si>
    <t xml:space="preserve">ต้นฉบับให้ค่อยๆ ยืดรอบ แต่ไม่บอกเกณฑ์</t>
  </si>
  <si>
    <t xml:space="preserve">ข้อเสนอ · PDF p.45</t>
  </si>
  <si>
    <t xml:space="preserve">ล้างถ้วยด้วยน้ำมันก๊าด กับถ้วย Polycarbonate</t>
  </si>
  <si>
    <t xml:space="preserve">ต้นฉบับให้ล้างด้วยน้ำหรือน้ำมันก๊าด</t>
  </si>
  <si>
    <t xml:space="preserve">ตรวจคู่มือผู้ผลิต · PDF p.38</t>
  </si>
  <si>
    <t xml:space="preserve">“Conduct training” ในหัวข้อ Daily inspection</t>
  </si>
  <si>
    <t xml:space="preserve">คำแปลไม่ชัด จึงไม่ใส่ในชีท</t>
  </si>
  <si>
    <t xml:space="preserve">PDF p.44 · ตรวจกับต้นฉบับญี่ปุ่น</t>
  </si>
  <si>
    <r>
      <rPr>
        <sz val="9"/>
        <color rgb="FF1A1D21"/>
        <rFont val="Tahoma"/>
        <family val="0"/>
        <charset val="1"/>
      </rPr>
      <t xml:space="preserve">คำแปลที่แก้: Lock nut “sagging” = หลวม (</t>
    </r>
    <r>
      <rPr>
        <sz val="9"/>
        <color rgb="FF1A1D21"/>
        <rFont val="WenQuanYi Zen Hei"/>
        <family val="2"/>
      </rPr>
      <t xml:space="preserve">緩み</t>
    </r>
    <r>
      <rPr>
        <sz val="9"/>
        <color rgb="FF1A1D21"/>
        <rFont val="Tahoma"/>
        <family val="0"/>
        <charset val="1"/>
      </rPr>
      <t xml:space="preserve">) · “murky white” = ขุ่นขาว</t>
    </r>
  </si>
  <si>
    <t xml:space="preserve">ใช้ในชีท Daily_Check</t>
  </si>
  <si>
    <t xml:space="preserve">แก้คำแปล PDF p.49</t>
  </si>
  <si>
    <r>
      <rPr>
        <sz val="9"/>
        <color rgb="FF1A1D21"/>
        <rFont val="Tahoma"/>
        <family val="0"/>
        <charset val="1"/>
      </rPr>
      <t xml:space="preserve">คำแปลที่แก้: “valve sheet” = Valve seat · “confusion” = เกจเพี้ยน (</t>
    </r>
    <r>
      <rPr>
        <sz val="9"/>
        <color rgb="FF1A1D21"/>
        <rFont val="WenQuanYi Zen Hei"/>
        <family val="2"/>
      </rPr>
      <t xml:space="preserve">狂い</t>
    </r>
    <r>
      <rPr>
        <sz val="9"/>
        <color rgb="FF1A1D21"/>
        <rFont val="Tahoma"/>
        <family val="0"/>
        <charset val="1"/>
      </rPr>
      <t xml:space="preserve">)</t>
    </r>
  </si>
  <si>
    <t xml:space="preserve">ใช้ในชีท Periodic_Check</t>
  </si>
  <si>
    <t xml:space="preserve">แก้คำแปล PDF p.45–46</t>
  </si>
  <si>
    <t xml:space="preserve">Exhaust port “If NG” อ่านว่า ละอองน้ำมันน้อย/ไม่มี</t>
  </si>
  <si>
    <t xml:space="preserve">ใช้ในชีท Reference A</t>
  </si>
  <si>
    <t xml:space="preserve">PDF p.45 · ตรวจกับต้นฉบับญี่ปุ่น</t>
  </si>
  <si>
    <t xml:space="preserve">เกณฑ์ “เผื่อระยะ” ตอนรัด Binder</t>
  </si>
  <si>
    <t xml:space="preserve">ต้นฉบับไม่มีตัวเลข</t>
  </si>
  <si>
    <t xml:space="preserve">[DATA REQUIRED] · PDF p.47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</si>
</sst>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b val="true"/>
      <sz val="15"/>
      <color rgb="FFFFFFFF"/>
      <name val="WenQuanYi Zen Hei"/>
      <family val="2"/>
    </font>
    <font>
      <i val="true"/>
      <sz val="9"/>
      <color rgb="FF5A6775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1A1D21"/>
      <name val="Tahoma"/>
      <family val="0"/>
      <charset val="1"/>
    </font>
    <font>
      <sz val="10"/>
      <color rgb="FF1A1D21"/>
      <name val="Tahoma"/>
      <family val="0"/>
      <charset val="1"/>
    </font>
    <font>
      <b val="true"/>
      <sz val="9"/>
      <color rgb="FF1A1D21"/>
      <name val="Tahoma"/>
      <family val="0"/>
      <charset val="1"/>
    </font>
    <font>
      <i val="true"/>
      <sz val="9"/>
      <color rgb="FFB07A00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10"/>
      <color rgb="FF1F5FBF"/>
      <name val="Tahoma"/>
      <family val="0"/>
      <charset val="1"/>
    </font>
    <font>
      <sz val="9"/>
      <color rgb="FF1A1D21"/>
      <name val="Tahoma"/>
      <family val="0"/>
      <charset val="1"/>
    </font>
    <font>
      <sz val="9"/>
      <color rgb="FFB07A00"/>
      <name val="Tahoma"/>
      <family val="0"/>
      <charset val="1"/>
    </font>
    <font>
      <b val="true"/>
      <sz val="11"/>
      <color rgb="FF1F5FBF"/>
      <name val="Tahoma"/>
      <family val="0"/>
      <charset val="1"/>
    </font>
    <font>
      <sz val="9"/>
      <color rgb="FF1A1D2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36"/>
        <bgColor rgb="FF1A1D21"/>
      </patternFill>
    </fill>
    <fill>
      <patternFill patternType="solid">
        <fgColor rgb="FFFFFF00"/>
        <bgColor rgb="FFFFFF00"/>
      </patternFill>
    </fill>
    <fill>
      <patternFill patternType="solid">
        <fgColor rgb="FFE3ECF9"/>
        <bgColor rgb="FFF2F2F2"/>
      </patternFill>
    </fill>
    <fill>
      <patternFill patternType="solid">
        <fgColor rgb="FFF2F2F2"/>
        <bgColor rgb="FFE3EC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Tahoma"/>
        <charset val="1"/>
        <family val="0"/>
        <b val="1"/>
        <color rgb="FFC32A3E"/>
      </font>
      <fill>
        <patternFill>
          <bgColor rgb="FFF8C9CF"/>
        </patternFill>
      </fill>
    </dxf>
    <dxf>
      <font>
        <name val="Tahoma"/>
        <charset val="1"/>
        <family val="0"/>
        <b val="1"/>
        <color rgb="FF8A5A00"/>
      </font>
      <fill>
        <patternFill>
          <bgColor rgb="FFFCE7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00"/>
      <rgbColor rgb="FF800080"/>
      <rgbColor rgb="FF008080"/>
      <rgbColor rgb="FFC0C0C0"/>
      <rgbColor rgb="FF808080"/>
      <rgbColor rgb="FF9999FF"/>
      <rgbColor rgb="FFC32A3E"/>
      <rgbColor rgb="FFF2F2F2"/>
      <rgbColor rgb="FFE3ECF9"/>
      <rgbColor rgb="FF660066"/>
      <rgbColor rgb="FFFF8080"/>
      <rgbColor rgb="FF1F5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7B2"/>
      <rgbColor rgb="FF99CCFF"/>
      <rgbColor rgb="FFFF99CC"/>
      <rgbColor rgb="FFCC99FF"/>
      <rgbColor rgb="FFF8C9CF"/>
      <rgbColor rgb="FF3366FF"/>
      <rgbColor rgb="FF33CCCC"/>
      <rgbColor rgb="FF99CC00"/>
      <rgbColor rgb="FFFFCC00"/>
      <rgbColor rgb="FFFF9900"/>
      <rgbColor rgb="FFFF6600"/>
      <rgbColor rgb="FF5A6775"/>
      <rgbColor rgb="FF9AA1AA"/>
      <rgbColor rgb="FF003366"/>
      <rgbColor rgb="FF339966"/>
      <rgbColor rgb="FF003300"/>
      <rgbColor rgb="FF1A1D21"/>
      <rgbColor rgb="FF8A5A00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/>
    </row>
    <row r="5" customFormat="false" ht="33.7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</row>
    <row r="6" customFormat="false" ht="33.7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</row>
    <row r="7" customFormat="false" ht="33.75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</row>
    <row r="8" customFormat="false" ht="33.7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</row>
    <row r="9" customFormat="false" ht="33.75" hidden="false" customHeight="true" outlineLevel="0" collapsed="false">
      <c r="A9" s="4" t="s">
        <v>12</v>
      </c>
      <c r="B9" s="5" t="s">
        <v>13</v>
      </c>
      <c r="C9" s="5"/>
      <c r="D9" s="5"/>
      <c r="E9" s="5"/>
      <c r="F9" s="5"/>
    </row>
    <row r="10" customFormat="false" ht="9.75" hidden="false" customHeight="true" outlineLevel="0" collapsed="false">
      <c r="A10" s="6"/>
      <c r="B10" s="7"/>
      <c r="C10" s="7"/>
      <c r="D10" s="7"/>
      <c r="E10" s="7"/>
      <c r="F10" s="7"/>
    </row>
    <row r="11" customFormat="false" ht="33.75" hidden="false" customHeight="true" outlineLevel="0" collapsed="false">
      <c r="A11" s="4" t="s">
        <v>14</v>
      </c>
      <c r="B11" s="5" t="s">
        <v>15</v>
      </c>
      <c r="C11" s="5"/>
      <c r="D11" s="5"/>
      <c r="E11" s="5"/>
      <c r="F11" s="5"/>
    </row>
    <row r="12" customFormat="false" ht="33.75" hidden="false" customHeight="true" outlineLevel="0" collapsed="false">
      <c r="A12" s="4" t="s">
        <v>16</v>
      </c>
      <c r="B12" s="8" t="s">
        <v>17</v>
      </c>
      <c r="C12" s="8"/>
      <c r="D12" s="8"/>
      <c r="E12" s="8"/>
      <c r="F12" s="8"/>
    </row>
    <row r="13" customFormat="false" ht="33.75" hidden="false" customHeight="true" outlineLevel="0" collapsed="false">
      <c r="A13" s="4" t="s">
        <v>18</v>
      </c>
      <c r="B13" s="5" t="s">
        <v>19</v>
      </c>
      <c r="C13" s="5"/>
      <c r="D13" s="5"/>
      <c r="E13" s="5"/>
      <c r="F13" s="5"/>
    </row>
    <row r="14" customFormat="false" ht="33.75" hidden="false" customHeight="true" outlineLevel="0" collapsed="false">
      <c r="A14" s="4" t="s">
        <v>20</v>
      </c>
      <c r="B14" s="5" t="s">
        <v>21</v>
      </c>
      <c r="C14" s="5"/>
      <c r="D14" s="5"/>
      <c r="E14" s="5"/>
      <c r="F14" s="5"/>
    </row>
    <row r="15" customFormat="false" ht="33.75" hidden="false" customHeight="true" outlineLevel="0" collapsed="false">
      <c r="A15" s="4" t="s">
        <v>22</v>
      </c>
      <c r="B15" s="5" t="s">
        <v>23</v>
      </c>
      <c r="C15" s="5"/>
      <c r="D15" s="5"/>
      <c r="E15" s="5"/>
      <c r="F15" s="5"/>
    </row>
    <row r="16" customFormat="false" ht="33.75" hidden="false" customHeight="true" outlineLevel="0" collapsed="false">
      <c r="A16" s="4" t="s">
        <v>24</v>
      </c>
      <c r="B16" s="5" t="s">
        <v>25</v>
      </c>
      <c r="C16" s="5"/>
      <c r="D16" s="5"/>
      <c r="E16" s="5"/>
      <c r="F16" s="5"/>
    </row>
  </sheetData>
  <mergeCells count="15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7" topLeftCell="H8" activePane="bottomRight" state="frozen"/>
      <selection pane="topLeft" activeCell="A1" activeCellId="0" sqref="A1"/>
      <selection pane="topRight" activeCell="H1" activeCellId="0" sqref="H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38" min="8" style="0" width="3.6"/>
    <col collapsed="false" customWidth="true" hidden="false" outlineLevel="0" max="39" min="39" style="0" width="7"/>
    <col collapsed="false" customWidth="true" hidden="false" outlineLevel="0" max="40" min="40" style="0" width="26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11.9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customFormat="false" ht="19.5" hidden="false" customHeight="true" outlineLevel="0" collapsed="false">
      <c r="B3" s="9" t="s">
        <v>28</v>
      </c>
      <c r="C3" s="10"/>
      <c r="D3" s="10"/>
      <c r="E3" s="9" t="s">
        <v>29</v>
      </c>
      <c r="F3" s="10"/>
      <c r="G3" s="10"/>
    </row>
    <row r="4" customFormat="false" ht="19.5" hidden="false" customHeight="true" outlineLevel="0" collapsed="false">
      <c r="B4" s="9" t="s">
        <v>30</v>
      </c>
      <c r="C4" s="11" t="s">
        <v>31</v>
      </c>
      <c r="D4" s="11"/>
      <c r="E4" s="9" t="s">
        <v>32</v>
      </c>
      <c r="F4" s="11" t="s">
        <v>31</v>
      </c>
      <c r="G4" s="11"/>
    </row>
    <row r="5" customFormat="false" ht="19.5" hidden="false" customHeight="true" outlineLevel="0" collapsed="false">
      <c r="B5" s="9" t="s">
        <v>33</v>
      </c>
      <c r="C5" s="11" t="s">
        <v>34</v>
      </c>
      <c r="D5" s="11"/>
      <c r="E5" s="9" t="s">
        <v>35</v>
      </c>
      <c r="F5" s="10"/>
      <c r="G5" s="10"/>
    </row>
    <row r="6" customFormat="false" ht="19.5" hidden="false" customHeight="true" outlineLevel="0" collapsed="false">
      <c r="B6" s="9" t="s">
        <v>36</v>
      </c>
      <c r="C6" s="10"/>
      <c r="D6" s="10"/>
    </row>
    <row r="7" customFormat="false" ht="31.5" hidden="false" customHeight="true" outlineLevel="0" collapsed="false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2" t="s">
        <v>20</v>
      </c>
      <c r="G7" s="12" t="s">
        <v>42</v>
      </c>
      <c r="H7" s="12" t="s">
        <v>43</v>
      </c>
      <c r="I7" s="12" t="s">
        <v>44</v>
      </c>
      <c r="J7" s="12" t="s">
        <v>45</v>
      </c>
      <c r="K7" s="12" t="s">
        <v>46</v>
      </c>
      <c r="L7" s="12" t="s">
        <v>47</v>
      </c>
      <c r="M7" s="12" t="s">
        <v>48</v>
      </c>
      <c r="N7" s="12" t="s">
        <v>49</v>
      </c>
      <c r="O7" s="12" t="s">
        <v>50</v>
      </c>
      <c r="P7" s="12" t="s">
        <v>51</v>
      </c>
      <c r="Q7" s="12" t="s">
        <v>52</v>
      </c>
      <c r="R7" s="12" t="s">
        <v>53</v>
      </c>
      <c r="S7" s="12" t="s">
        <v>54</v>
      </c>
      <c r="T7" s="12" t="s">
        <v>55</v>
      </c>
      <c r="U7" s="12" t="s">
        <v>56</v>
      </c>
      <c r="V7" s="12" t="s">
        <v>57</v>
      </c>
      <c r="W7" s="12" t="s">
        <v>58</v>
      </c>
      <c r="X7" s="12" t="s">
        <v>59</v>
      </c>
      <c r="Y7" s="12" t="s">
        <v>60</v>
      </c>
      <c r="Z7" s="12" t="s">
        <v>61</v>
      </c>
      <c r="AA7" s="12" t="s">
        <v>62</v>
      </c>
      <c r="AB7" s="12" t="s">
        <v>63</v>
      </c>
      <c r="AC7" s="12" t="s">
        <v>64</v>
      </c>
      <c r="AD7" s="12" t="s">
        <v>65</v>
      </c>
      <c r="AE7" s="12" t="s">
        <v>66</v>
      </c>
      <c r="AF7" s="12" t="s">
        <v>67</v>
      </c>
      <c r="AG7" s="12" t="s">
        <v>68</v>
      </c>
      <c r="AH7" s="12" t="s">
        <v>69</v>
      </c>
      <c r="AI7" s="12" t="s">
        <v>70</v>
      </c>
      <c r="AJ7" s="12" t="s">
        <v>71</v>
      </c>
      <c r="AK7" s="12" t="s">
        <v>72</v>
      </c>
      <c r="AL7" s="12" t="s">
        <v>73</v>
      </c>
      <c r="AM7" s="12" t="s">
        <v>74</v>
      </c>
      <c r="AN7" s="12" t="s">
        <v>75</v>
      </c>
    </row>
    <row r="8" customFormat="false" ht="19.5" hidden="false" customHeight="true" outlineLevel="0" collapsed="false">
      <c r="A8" s="13" t="s">
        <v>76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customFormat="false" ht="43.5" hidden="false" customHeight="true" outlineLevel="0" collapsed="false">
      <c r="A9" s="14" t="n">
        <v>1</v>
      </c>
      <c r="B9" s="15" t="s">
        <v>77</v>
      </c>
      <c r="C9" s="14" t="s">
        <v>78</v>
      </c>
      <c r="D9" s="15" t="s">
        <v>79</v>
      </c>
      <c r="E9" s="15" t="s">
        <v>80</v>
      </c>
      <c r="F9" s="16" t="s">
        <v>81</v>
      </c>
      <c r="G9" s="15" t="s">
        <v>82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8" t="n">
        <f aca="false">COUNTIF(H9:AL9,"×")</f>
        <v>0</v>
      </c>
      <c r="AN9" s="19"/>
    </row>
    <row r="10" customFormat="false" ht="19.5" hidden="false" customHeight="true" outlineLevel="0" collapsed="false">
      <c r="A10" s="13" t="s">
        <v>83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customFormat="false" ht="43.5" hidden="false" customHeight="true" outlineLevel="0" collapsed="false">
      <c r="A11" s="14" t="n">
        <v>2</v>
      </c>
      <c r="B11" s="15" t="s">
        <v>84</v>
      </c>
      <c r="C11" s="14" t="s">
        <v>78</v>
      </c>
      <c r="D11" s="15" t="s">
        <v>85</v>
      </c>
      <c r="E11" s="15" t="s">
        <v>86</v>
      </c>
      <c r="F11" s="16" t="s">
        <v>87</v>
      </c>
      <c r="G11" s="15" t="s">
        <v>88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8" t="n">
        <f aca="false">COUNTIF(H11:AL11,"×")</f>
        <v>0</v>
      </c>
      <c r="AN11" s="19"/>
    </row>
    <row r="12" customFormat="false" ht="43.5" hidden="false" customHeight="true" outlineLevel="0" collapsed="false">
      <c r="A12" s="14" t="n">
        <v>3</v>
      </c>
      <c r="B12" s="15" t="s">
        <v>89</v>
      </c>
      <c r="C12" s="14" t="s">
        <v>78</v>
      </c>
      <c r="D12" s="15" t="s">
        <v>90</v>
      </c>
      <c r="E12" s="15" t="s">
        <v>91</v>
      </c>
      <c r="F12" s="15" t="s">
        <v>92</v>
      </c>
      <c r="G12" s="15" t="s">
        <v>93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 t="n">
        <f aca="false">COUNTIF(H12:AL12,"×")</f>
        <v>0</v>
      </c>
      <c r="AN12" s="19"/>
    </row>
    <row r="13" customFormat="false" ht="43.5" hidden="false" customHeight="true" outlineLevel="0" collapsed="false">
      <c r="A13" s="14" t="n">
        <v>4</v>
      </c>
      <c r="B13" s="15" t="s">
        <v>94</v>
      </c>
      <c r="C13" s="14" t="s">
        <v>78</v>
      </c>
      <c r="D13" s="15" t="s">
        <v>95</v>
      </c>
      <c r="E13" s="15" t="s">
        <v>96</v>
      </c>
      <c r="F13" s="16" t="s">
        <v>97</v>
      </c>
      <c r="G13" s="15" t="s">
        <v>98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 t="n">
        <f aca="false">COUNTIF(H13:AL13,"×")</f>
        <v>0</v>
      </c>
      <c r="AN13" s="19"/>
    </row>
    <row r="14" customFormat="false" ht="19.5" hidden="false" customHeight="true" outlineLevel="0" collapsed="false">
      <c r="A14" s="13" t="s">
        <v>99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customFormat="false" ht="43.5" hidden="false" customHeight="true" outlineLevel="0" collapsed="false">
      <c r="A15" s="14" t="n">
        <v>5</v>
      </c>
      <c r="B15" s="15" t="s">
        <v>100</v>
      </c>
      <c r="C15" s="14" t="s">
        <v>101</v>
      </c>
      <c r="D15" s="15" t="s">
        <v>102</v>
      </c>
      <c r="E15" s="15" t="s">
        <v>103</v>
      </c>
      <c r="F15" s="16" t="s">
        <v>104</v>
      </c>
      <c r="G15" s="15" t="s">
        <v>105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 t="n">
        <f aca="false">COUNTIF(H15:AL15,"×")</f>
        <v>0</v>
      </c>
      <c r="AN15" s="19"/>
    </row>
    <row r="16" customFormat="false" ht="43.5" hidden="false" customHeight="true" outlineLevel="0" collapsed="false">
      <c r="A16" s="14" t="n">
        <v>6</v>
      </c>
      <c r="B16" s="15" t="s">
        <v>106</v>
      </c>
      <c r="C16" s="14" t="s">
        <v>107</v>
      </c>
      <c r="D16" s="15" t="s">
        <v>108</v>
      </c>
      <c r="E16" s="15" t="s">
        <v>109</v>
      </c>
      <c r="F16" s="15" t="s">
        <v>110</v>
      </c>
      <c r="G16" s="15" t="s">
        <v>105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8" t="n">
        <f aca="false">COUNTIF(H16:AL16,"×")</f>
        <v>0</v>
      </c>
      <c r="AN16" s="19"/>
    </row>
    <row r="17" customFormat="false" ht="43.5" hidden="false" customHeight="true" outlineLevel="0" collapsed="false">
      <c r="A17" s="14" t="n">
        <v>7</v>
      </c>
      <c r="B17" s="15" t="s">
        <v>111</v>
      </c>
      <c r="C17" s="14" t="s">
        <v>78</v>
      </c>
      <c r="D17" s="15" t="s">
        <v>112</v>
      </c>
      <c r="E17" s="15" t="s">
        <v>113</v>
      </c>
      <c r="F17" s="16" t="s">
        <v>114</v>
      </c>
      <c r="G17" s="15" t="s">
        <v>115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8" t="n">
        <f aca="false">COUNTIF(H17:AL17,"×")</f>
        <v>0</v>
      </c>
      <c r="AN17" s="19"/>
    </row>
    <row r="18" customFormat="false" ht="43.5" hidden="false" customHeight="true" outlineLevel="0" collapsed="false">
      <c r="A18" s="14" t="n">
        <v>8</v>
      </c>
      <c r="B18" s="15" t="s">
        <v>116</v>
      </c>
      <c r="C18" s="14" t="s">
        <v>78</v>
      </c>
      <c r="D18" s="15" t="s">
        <v>117</v>
      </c>
      <c r="E18" s="15" t="s">
        <v>118</v>
      </c>
      <c r="F18" s="16" t="s">
        <v>119</v>
      </c>
      <c r="G18" s="15" t="s">
        <v>93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 t="n">
        <f aca="false">COUNTIF(H18:AL18,"×")</f>
        <v>0</v>
      </c>
      <c r="AN18" s="19"/>
    </row>
    <row r="19" customFormat="false" ht="43.5" hidden="false" customHeight="true" outlineLevel="0" collapsed="false">
      <c r="A19" s="14" t="n">
        <v>9</v>
      </c>
      <c r="B19" s="15" t="s">
        <v>120</v>
      </c>
      <c r="C19" s="14" t="s">
        <v>78</v>
      </c>
      <c r="D19" s="15" t="s">
        <v>121</v>
      </c>
      <c r="E19" s="15" t="s">
        <v>122</v>
      </c>
      <c r="F19" s="16" t="s">
        <v>123</v>
      </c>
      <c r="G19" s="15" t="s">
        <v>124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8" t="n">
        <f aca="false">COUNTIF(H19:AL19,"×")</f>
        <v>0</v>
      </c>
      <c r="AN19" s="19"/>
    </row>
    <row r="20" customFormat="false" ht="43.5" hidden="false" customHeight="true" outlineLevel="0" collapsed="false">
      <c r="A20" s="14" t="n">
        <v>10</v>
      </c>
      <c r="B20" s="15" t="s">
        <v>125</v>
      </c>
      <c r="C20" s="14" t="s">
        <v>78</v>
      </c>
      <c r="D20" s="15" t="s">
        <v>126</v>
      </c>
      <c r="E20" s="15" t="s">
        <v>127</v>
      </c>
      <c r="F20" s="15" t="s">
        <v>110</v>
      </c>
      <c r="G20" s="15" t="s">
        <v>105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 t="n">
        <f aca="false">COUNTIF(H20:AL20,"×")</f>
        <v>0</v>
      </c>
      <c r="AN20" s="19"/>
    </row>
    <row r="21" customFormat="false" ht="43.5" hidden="false" customHeight="true" outlineLevel="0" collapsed="false">
      <c r="A21" s="14" t="n">
        <v>11</v>
      </c>
      <c r="B21" s="15" t="s">
        <v>128</v>
      </c>
      <c r="C21" s="14" t="s">
        <v>129</v>
      </c>
      <c r="D21" s="15" t="s">
        <v>130</v>
      </c>
      <c r="E21" s="15" t="s">
        <v>131</v>
      </c>
      <c r="F21" s="16" t="s">
        <v>132</v>
      </c>
      <c r="G21" s="15" t="s">
        <v>133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8" t="n">
        <f aca="false">COUNTIF(H21:AL21,"×")</f>
        <v>0</v>
      </c>
      <c r="AN21" s="19"/>
    </row>
    <row r="22" customFormat="false" ht="21.75" hidden="false" customHeight="true" outlineLevel="0" collapsed="false">
      <c r="A22" s="20" t="s">
        <v>134</v>
      </c>
      <c r="B22" s="20"/>
      <c r="C22" s="20"/>
      <c r="D22" s="20"/>
      <c r="E22" s="20"/>
      <c r="F22" s="20"/>
      <c r="G22" s="20"/>
      <c r="H22" s="21" t="n">
        <f aca="false">COUNTIF(H9:H21,"×")</f>
        <v>0</v>
      </c>
      <c r="I22" s="21" t="n">
        <f aca="false">COUNTIF(I9:I21,"×")</f>
        <v>0</v>
      </c>
      <c r="J22" s="21" t="n">
        <f aca="false">COUNTIF(J9:J21,"×")</f>
        <v>0</v>
      </c>
      <c r="K22" s="21" t="n">
        <f aca="false">COUNTIF(K9:K21,"×")</f>
        <v>0</v>
      </c>
      <c r="L22" s="21" t="n">
        <f aca="false">COUNTIF(L9:L21,"×")</f>
        <v>0</v>
      </c>
      <c r="M22" s="21" t="n">
        <f aca="false">COUNTIF(M9:M21,"×")</f>
        <v>0</v>
      </c>
      <c r="N22" s="21" t="n">
        <f aca="false">COUNTIF(N9:N21,"×")</f>
        <v>0</v>
      </c>
      <c r="O22" s="21" t="n">
        <f aca="false">COUNTIF(O9:O21,"×")</f>
        <v>0</v>
      </c>
      <c r="P22" s="21" t="n">
        <f aca="false">COUNTIF(P9:P21,"×")</f>
        <v>0</v>
      </c>
      <c r="Q22" s="21" t="n">
        <f aca="false">COUNTIF(Q9:Q21,"×")</f>
        <v>0</v>
      </c>
      <c r="R22" s="21" t="n">
        <f aca="false">COUNTIF(R9:R21,"×")</f>
        <v>0</v>
      </c>
      <c r="S22" s="21" t="n">
        <f aca="false">COUNTIF(S9:S21,"×")</f>
        <v>0</v>
      </c>
      <c r="T22" s="21" t="n">
        <f aca="false">COUNTIF(T9:T21,"×")</f>
        <v>0</v>
      </c>
      <c r="U22" s="21" t="n">
        <f aca="false">COUNTIF(U9:U21,"×")</f>
        <v>0</v>
      </c>
      <c r="V22" s="21" t="n">
        <f aca="false">COUNTIF(V9:V21,"×")</f>
        <v>0</v>
      </c>
      <c r="W22" s="21" t="n">
        <f aca="false">COUNTIF(W9:W21,"×")</f>
        <v>0</v>
      </c>
      <c r="X22" s="21" t="n">
        <f aca="false">COUNTIF(X9:X21,"×")</f>
        <v>0</v>
      </c>
      <c r="Y22" s="21" t="n">
        <f aca="false">COUNTIF(Y9:Y21,"×")</f>
        <v>0</v>
      </c>
      <c r="Z22" s="21" t="n">
        <f aca="false">COUNTIF(Z9:Z21,"×")</f>
        <v>0</v>
      </c>
      <c r="AA22" s="21" t="n">
        <f aca="false">COUNTIF(AA9:AA21,"×")</f>
        <v>0</v>
      </c>
      <c r="AB22" s="21" t="n">
        <f aca="false">COUNTIF(AB9:AB21,"×")</f>
        <v>0</v>
      </c>
      <c r="AC22" s="21" t="n">
        <f aca="false">COUNTIF(AC9:AC21,"×")</f>
        <v>0</v>
      </c>
      <c r="AD22" s="21" t="n">
        <f aca="false">COUNTIF(AD9:AD21,"×")</f>
        <v>0</v>
      </c>
      <c r="AE22" s="21" t="n">
        <f aca="false">COUNTIF(AE9:AE21,"×")</f>
        <v>0</v>
      </c>
      <c r="AF22" s="21" t="n">
        <f aca="false">COUNTIF(AF9:AF21,"×")</f>
        <v>0</v>
      </c>
      <c r="AG22" s="21" t="n">
        <f aca="false">COUNTIF(AG9:AG21,"×")</f>
        <v>0</v>
      </c>
      <c r="AH22" s="21" t="n">
        <f aca="false">COUNTIF(AH9:AH21,"×")</f>
        <v>0</v>
      </c>
      <c r="AI22" s="21" t="n">
        <f aca="false">COUNTIF(AI9:AI21,"×")</f>
        <v>0</v>
      </c>
      <c r="AJ22" s="21" t="n">
        <f aca="false">COUNTIF(AJ9:AJ21,"×")</f>
        <v>0</v>
      </c>
      <c r="AK22" s="21" t="n">
        <f aca="false">COUNTIF(AK9:AK21,"×")</f>
        <v>0</v>
      </c>
      <c r="AL22" s="21" t="n">
        <f aca="false">COUNTIF(AL9:AL21,"×")</f>
        <v>0</v>
      </c>
    </row>
    <row r="23" customFormat="false" ht="21.75" hidden="false" customHeight="true" outlineLevel="0" collapsed="false">
      <c r="A23" s="20" t="s">
        <v>135</v>
      </c>
      <c r="B23" s="20"/>
      <c r="C23" s="20"/>
      <c r="D23" s="20"/>
      <c r="E23" s="20"/>
      <c r="F23" s="20"/>
      <c r="G23" s="20"/>
      <c r="H23" s="21" t="n">
        <f aca="false">COUNTIF(H9:H21,"△")</f>
        <v>0</v>
      </c>
      <c r="I23" s="21" t="n">
        <f aca="false">COUNTIF(I9:I21,"△")</f>
        <v>0</v>
      </c>
      <c r="J23" s="21" t="n">
        <f aca="false">COUNTIF(J9:J21,"△")</f>
        <v>0</v>
      </c>
      <c r="K23" s="21" t="n">
        <f aca="false">COUNTIF(K9:K21,"△")</f>
        <v>0</v>
      </c>
      <c r="L23" s="21" t="n">
        <f aca="false">COUNTIF(L9:L21,"△")</f>
        <v>0</v>
      </c>
      <c r="M23" s="21" t="n">
        <f aca="false">COUNTIF(M9:M21,"△")</f>
        <v>0</v>
      </c>
      <c r="N23" s="21" t="n">
        <f aca="false">COUNTIF(N9:N21,"△")</f>
        <v>0</v>
      </c>
      <c r="O23" s="21" t="n">
        <f aca="false">COUNTIF(O9:O21,"△")</f>
        <v>0</v>
      </c>
      <c r="P23" s="21" t="n">
        <f aca="false">COUNTIF(P9:P21,"△")</f>
        <v>0</v>
      </c>
      <c r="Q23" s="21" t="n">
        <f aca="false">COUNTIF(Q9:Q21,"△")</f>
        <v>0</v>
      </c>
      <c r="R23" s="21" t="n">
        <f aca="false">COUNTIF(R9:R21,"△")</f>
        <v>0</v>
      </c>
      <c r="S23" s="21" t="n">
        <f aca="false">COUNTIF(S9:S21,"△")</f>
        <v>0</v>
      </c>
      <c r="T23" s="21" t="n">
        <f aca="false">COUNTIF(T9:T21,"△")</f>
        <v>0</v>
      </c>
      <c r="U23" s="21" t="n">
        <f aca="false">COUNTIF(U9:U21,"△")</f>
        <v>0</v>
      </c>
      <c r="V23" s="21" t="n">
        <f aca="false">COUNTIF(V9:V21,"△")</f>
        <v>0</v>
      </c>
      <c r="W23" s="21" t="n">
        <f aca="false">COUNTIF(W9:W21,"△")</f>
        <v>0</v>
      </c>
      <c r="X23" s="21" t="n">
        <f aca="false">COUNTIF(X9:X21,"△")</f>
        <v>0</v>
      </c>
      <c r="Y23" s="21" t="n">
        <f aca="false">COUNTIF(Y9:Y21,"△")</f>
        <v>0</v>
      </c>
      <c r="Z23" s="21" t="n">
        <f aca="false">COUNTIF(Z9:Z21,"△")</f>
        <v>0</v>
      </c>
      <c r="AA23" s="21" t="n">
        <f aca="false">COUNTIF(AA9:AA21,"△")</f>
        <v>0</v>
      </c>
      <c r="AB23" s="21" t="n">
        <f aca="false">COUNTIF(AB9:AB21,"△")</f>
        <v>0</v>
      </c>
      <c r="AC23" s="21" t="n">
        <f aca="false">COUNTIF(AC9:AC21,"△")</f>
        <v>0</v>
      </c>
      <c r="AD23" s="21" t="n">
        <f aca="false">COUNTIF(AD9:AD21,"△")</f>
        <v>0</v>
      </c>
      <c r="AE23" s="21" t="n">
        <f aca="false">COUNTIF(AE9:AE21,"△")</f>
        <v>0</v>
      </c>
      <c r="AF23" s="21" t="n">
        <f aca="false">COUNTIF(AF9:AF21,"△")</f>
        <v>0</v>
      </c>
      <c r="AG23" s="21" t="n">
        <f aca="false">COUNTIF(AG9:AG21,"△")</f>
        <v>0</v>
      </c>
      <c r="AH23" s="21" t="n">
        <f aca="false">COUNTIF(AH9:AH21,"△")</f>
        <v>0</v>
      </c>
      <c r="AI23" s="21" t="n">
        <f aca="false">COUNTIF(AI9:AI21,"△")</f>
        <v>0</v>
      </c>
      <c r="AJ23" s="21" t="n">
        <f aca="false">COUNTIF(AJ9:AJ21,"△")</f>
        <v>0</v>
      </c>
      <c r="AK23" s="21" t="n">
        <f aca="false">COUNTIF(AK9:AK21,"△")</f>
        <v>0</v>
      </c>
      <c r="AL23" s="21" t="n">
        <f aca="false">COUNTIF(AL9:AL21,"△")</f>
        <v>0</v>
      </c>
    </row>
    <row r="24" customFormat="false" ht="21.75" hidden="false" customHeight="true" outlineLevel="0" collapsed="false">
      <c r="A24" s="20" t="s">
        <v>136</v>
      </c>
      <c r="B24" s="20"/>
      <c r="C24" s="20"/>
      <c r="D24" s="20"/>
      <c r="E24" s="20"/>
      <c r="F24" s="20"/>
      <c r="G24" s="20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customFormat="false" ht="21.75" hidden="false" customHeight="true" outlineLevel="0" collapsed="false">
      <c r="A25" s="20" t="s">
        <v>137</v>
      </c>
      <c r="B25" s="20"/>
      <c r="C25" s="20"/>
      <c r="D25" s="20"/>
      <c r="E25" s="20"/>
      <c r="F25" s="20"/>
      <c r="G25" s="20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</sheetData>
  <mergeCells count="16">
    <mergeCell ref="A1:AN1"/>
    <mergeCell ref="A2:AN2"/>
    <mergeCell ref="C3:D3"/>
    <mergeCell ref="F3:G3"/>
    <mergeCell ref="C4:D4"/>
    <mergeCell ref="F4:G4"/>
    <mergeCell ref="C5:D5"/>
    <mergeCell ref="F5:G5"/>
    <mergeCell ref="C6:D6"/>
    <mergeCell ref="A8:AN8"/>
    <mergeCell ref="A10:AN10"/>
    <mergeCell ref="A14:AN14"/>
    <mergeCell ref="A22:G22"/>
    <mergeCell ref="A23:G23"/>
    <mergeCell ref="A24:G24"/>
    <mergeCell ref="A25:G25"/>
  </mergeCells>
  <conditionalFormatting sqref="H9:AL21">
    <cfRule type="cellIs" priority="2" operator="equal" aboveAverage="0" equalAverage="0" bottom="0" percent="0" rank="0" text="" dxfId="0">
      <formula>"×"</formula>
    </cfRule>
    <cfRule type="cellIs" priority="3" operator="equal" aboveAverage="0" equalAverage="0" bottom="0" percent="0" rank="0" text="" dxfId="1">
      <formula>"△"</formula>
    </cfRule>
  </conditionalFormatting>
  <dataValidations count="1">
    <dataValidation allowBlank="true" error="ใช้ ○ △ × หรือ — เท่านั้น" errorStyle="stop" errorTitle="ผลตรวจ" operator="between" prompt="○ ปกติ · △ เฝ้าดู · × ผิดปกติ · — ไม่ได้ตรวจ" promptTitle="ผลตรวจ" showDropDown="false" showErrorMessage="false" showInputMessage="false" sqref="H9:AL9 H11:AL13 H15:AL21" type="list">
      <formula1>"○,△,×,—"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13" min="8" style="0" width="7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1.9" hidden="false" customHeight="false" outlineLevel="0" collapsed="false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B3" s="9" t="s">
        <v>28</v>
      </c>
      <c r="C3" s="10"/>
      <c r="D3" s="10"/>
      <c r="E3" s="9" t="s">
        <v>29</v>
      </c>
      <c r="F3" s="10"/>
      <c r="G3" s="10"/>
    </row>
    <row r="4" customFormat="false" ht="19.5" hidden="false" customHeight="true" outlineLevel="0" collapsed="false">
      <c r="B4" s="9" t="s">
        <v>36</v>
      </c>
      <c r="C4" s="10"/>
      <c r="D4" s="10"/>
      <c r="E4" s="9" t="s">
        <v>35</v>
      </c>
      <c r="F4" s="10"/>
      <c r="G4" s="10"/>
    </row>
    <row r="5" customFormat="false" ht="31.5" hidden="false" customHeight="true" outlineLevel="0" collapsed="false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2" t="s">
        <v>20</v>
      </c>
      <c r="G5" s="12" t="s">
        <v>42</v>
      </c>
      <c r="H5" s="12" t="s">
        <v>140</v>
      </c>
      <c r="I5" s="12" t="s">
        <v>141</v>
      </c>
      <c r="J5" s="12" t="s">
        <v>142</v>
      </c>
      <c r="K5" s="12" t="s">
        <v>143</v>
      </c>
      <c r="L5" s="12" t="s">
        <v>144</v>
      </c>
      <c r="M5" s="12" t="s">
        <v>74</v>
      </c>
      <c r="N5" s="12" t="s">
        <v>75</v>
      </c>
    </row>
    <row r="6" customFormat="false" ht="19.5" hidden="false" customHeight="true" outlineLevel="0" collapsed="false">
      <c r="A6" s="13" t="s">
        <v>145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customFormat="false" ht="43.5" hidden="false" customHeight="true" outlineLevel="0" collapsed="false">
      <c r="A7" s="14" t="n">
        <v>1</v>
      </c>
      <c r="B7" s="15" t="s">
        <v>146</v>
      </c>
      <c r="C7" s="14" t="s">
        <v>78</v>
      </c>
      <c r="D7" s="15" t="s">
        <v>147</v>
      </c>
      <c r="E7" s="15" t="s">
        <v>148</v>
      </c>
      <c r="F7" s="15" t="s">
        <v>149</v>
      </c>
      <c r="G7" s="15" t="s">
        <v>150</v>
      </c>
      <c r="H7" s="17"/>
      <c r="I7" s="17"/>
      <c r="J7" s="17"/>
      <c r="K7" s="17"/>
      <c r="L7" s="17"/>
      <c r="M7" s="18" t="n">
        <f aca="false">COUNTIF(H7:L7,"×")</f>
        <v>0</v>
      </c>
      <c r="N7" s="19"/>
    </row>
    <row r="8" customFormat="false" ht="43.5" hidden="false" customHeight="true" outlineLevel="0" collapsed="false">
      <c r="A8" s="14" t="n">
        <v>2</v>
      </c>
      <c r="B8" s="15" t="s">
        <v>151</v>
      </c>
      <c r="C8" s="14" t="s">
        <v>78</v>
      </c>
      <c r="D8" s="15" t="s">
        <v>152</v>
      </c>
      <c r="E8" s="15" t="s">
        <v>153</v>
      </c>
      <c r="F8" s="16" t="s">
        <v>154</v>
      </c>
      <c r="G8" s="15" t="s">
        <v>105</v>
      </c>
      <c r="H8" s="17"/>
      <c r="I8" s="17"/>
      <c r="J8" s="17"/>
      <c r="K8" s="17"/>
      <c r="L8" s="17"/>
      <c r="M8" s="18" t="n">
        <f aca="false">COUNTIF(H8:L8,"×")</f>
        <v>0</v>
      </c>
      <c r="N8" s="19"/>
    </row>
    <row r="9" customFormat="false" ht="19.5" hidden="false" customHeight="true" outlineLevel="0" collapsed="false">
      <c r="A9" s="13" t="s">
        <v>155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43.5" hidden="false" customHeight="true" outlineLevel="0" collapsed="false">
      <c r="A10" s="14" t="n">
        <v>3</v>
      </c>
      <c r="B10" s="15" t="s">
        <v>156</v>
      </c>
      <c r="C10" s="23" t="s">
        <v>31</v>
      </c>
      <c r="D10" s="24" t="s">
        <v>31</v>
      </c>
      <c r="E10" s="15" t="s">
        <v>157</v>
      </c>
      <c r="F10" s="16" t="s">
        <v>158</v>
      </c>
      <c r="G10" s="15" t="s">
        <v>105</v>
      </c>
      <c r="H10" s="17"/>
      <c r="I10" s="17"/>
      <c r="J10" s="17"/>
      <c r="K10" s="17"/>
      <c r="L10" s="17"/>
      <c r="M10" s="18" t="n">
        <f aca="false">COUNTIF(H10:L10,"×")</f>
        <v>0</v>
      </c>
      <c r="N10" s="19"/>
    </row>
    <row r="11" customFormat="false" ht="19.5" hidden="false" customHeight="true" outlineLevel="0" collapsed="false">
      <c r="A11" s="13" t="s">
        <v>159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customFormat="false" ht="43.5" hidden="false" customHeight="true" outlineLevel="0" collapsed="false">
      <c r="A12" s="14" t="n">
        <v>4</v>
      </c>
      <c r="B12" s="15" t="s">
        <v>160</v>
      </c>
      <c r="C12" s="14" t="s">
        <v>78</v>
      </c>
      <c r="D12" s="15" t="s">
        <v>161</v>
      </c>
      <c r="E12" s="15" t="s">
        <v>162</v>
      </c>
      <c r="F12" s="16" t="s">
        <v>163</v>
      </c>
      <c r="G12" s="15" t="s">
        <v>164</v>
      </c>
      <c r="H12" s="17"/>
      <c r="I12" s="17"/>
      <c r="J12" s="17"/>
      <c r="K12" s="17"/>
      <c r="L12" s="17"/>
      <c r="M12" s="18" t="n">
        <f aca="false">COUNTIF(H12:L12,"×")</f>
        <v>0</v>
      </c>
      <c r="N12" s="19"/>
    </row>
    <row r="13" customFormat="false" ht="43.5" hidden="false" customHeight="true" outlineLevel="0" collapsed="false">
      <c r="A13" s="14" t="n">
        <v>5</v>
      </c>
      <c r="B13" s="15" t="s">
        <v>165</v>
      </c>
      <c r="C13" s="14" t="s">
        <v>78</v>
      </c>
      <c r="D13" s="15" t="s">
        <v>166</v>
      </c>
      <c r="E13" s="15" t="s">
        <v>167</v>
      </c>
      <c r="F13" s="16" t="s">
        <v>163</v>
      </c>
      <c r="G13" s="15" t="s">
        <v>164</v>
      </c>
      <c r="H13" s="17"/>
      <c r="I13" s="17"/>
      <c r="J13" s="17"/>
      <c r="K13" s="17"/>
      <c r="L13" s="17"/>
      <c r="M13" s="18" t="n">
        <f aca="false">COUNTIF(H13:L13,"×")</f>
        <v>0</v>
      </c>
      <c r="N13" s="19"/>
    </row>
    <row r="14" customFormat="false" ht="43.5" hidden="false" customHeight="true" outlineLevel="0" collapsed="false">
      <c r="A14" s="14" t="n">
        <v>6</v>
      </c>
      <c r="B14" s="15" t="s">
        <v>168</v>
      </c>
      <c r="C14" s="14" t="s">
        <v>78</v>
      </c>
      <c r="D14" s="15" t="s">
        <v>169</v>
      </c>
      <c r="E14" s="15" t="s">
        <v>170</v>
      </c>
      <c r="F14" s="16" t="s">
        <v>163</v>
      </c>
      <c r="G14" s="15" t="s">
        <v>164</v>
      </c>
      <c r="H14" s="17"/>
      <c r="I14" s="17"/>
      <c r="J14" s="17"/>
      <c r="K14" s="17"/>
      <c r="L14" s="17"/>
      <c r="M14" s="18" t="n">
        <f aca="false">COUNTIF(H14:L14,"×")</f>
        <v>0</v>
      </c>
      <c r="N14" s="19"/>
    </row>
    <row r="15" customFormat="false" ht="19.5" hidden="false" customHeight="true" outlineLevel="0" collapsed="false">
      <c r="A15" s="13" t="s">
        <v>171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customFormat="false" ht="43.5" hidden="false" customHeight="true" outlineLevel="0" collapsed="false">
      <c r="A16" s="14" t="n">
        <v>7</v>
      </c>
      <c r="B16" s="15" t="s">
        <v>172</v>
      </c>
      <c r="C16" s="14" t="s">
        <v>78</v>
      </c>
      <c r="D16" s="15" t="s">
        <v>173</v>
      </c>
      <c r="E16" s="15" t="s">
        <v>174</v>
      </c>
      <c r="F16" s="15" t="s">
        <v>175</v>
      </c>
      <c r="G16" s="15" t="s">
        <v>176</v>
      </c>
      <c r="H16" s="17"/>
      <c r="I16" s="17"/>
      <c r="J16" s="17"/>
      <c r="K16" s="17"/>
      <c r="L16" s="17"/>
      <c r="M16" s="18" t="n">
        <f aca="false">COUNTIF(H16:L16,"×")</f>
        <v>0</v>
      </c>
      <c r="N16" s="19"/>
    </row>
    <row r="17" customFormat="false" ht="21.75" hidden="false" customHeight="true" outlineLevel="0" collapsed="false">
      <c r="A17" s="20" t="s">
        <v>177</v>
      </c>
      <c r="B17" s="20"/>
      <c r="C17" s="20"/>
      <c r="D17" s="20"/>
      <c r="E17" s="20"/>
      <c r="F17" s="20"/>
      <c r="G17" s="20"/>
      <c r="H17" s="21" t="n">
        <f aca="false">COUNTIF(H7:H16,"×")</f>
        <v>0</v>
      </c>
      <c r="I17" s="21" t="n">
        <f aca="false">COUNTIF(I7:I16,"×")</f>
        <v>0</v>
      </c>
      <c r="J17" s="21" t="n">
        <f aca="false">COUNTIF(J7:J16,"×")</f>
        <v>0</v>
      </c>
      <c r="K17" s="21" t="n">
        <f aca="false">COUNTIF(K7:K16,"×")</f>
        <v>0</v>
      </c>
      <c r="L17" s="21" t="n">
        <f aca="false">COUNTIF(L7:L16,"×")</f>
        <v>0</v>
      </c>
    </row>
    <row r="18" customFormat="false" ht="21.75" hidden="false" customHeight="true" outlineLevel="0" collapsed="false">
      <c r="A18" s="20" t="s">
        <v>136</v>
      </c>
      <c r="B18" s="20"/>
      <c r="C18" s="20"/>
      <c r="D18" s="20"/>
      <c r="E18" s="20"/>
      <c r="F18" s="20"/>
      <c r="G18" s="20"/>
      <c r="H18" s="22"/>
      <c r="I18" s="22"/>
      <c r="J18" s="22"/>
      <c r="K18" s="22"/>
      <c r="L18" s="22"/>
    </row>
    <row r="19" customFormat="false" ht="21.75" hidden="false" customHeight="true" outlineLevel="0" collapsed="false">
      <c r="A19" s="20" t="s">
        <v>137</v>
      </c>
      <c r="B19" s="20"/>
      <c r="C19" s="20"/>
      <c r="D19" s="20"/>
      <c r="E19" s="20"/>
      <c r="F19" s="20"/>
      <c r="G19" s="20"/>
      <c r="H19" s="22"/>
      <c r="I19" s="22"/>
      <c r="J19" s="22"/>
      <c r="K19" s="22"/>
      <c r="L19" s="22"/>
    </row>
  </sheetData>
  <mergeCells count="13">
    <mergeCell ref="A1:N1"/>
    <mergeCell ref="A2:N2"/>
    <mergeCell ref="C3:D3"/>
    <mergeCell ref="F3:G3"/>
    <mergeCell ref="C4:D4"/>
    <mergeCell ref="F4:G4"/>
    <mergeCell ref="A6:N6"/>
    <mergeCell ref="A9:N9"/>
    <mergeCell ref="A11:N11"/>
    <mergeCell ref="A15:N15"/>
    <mergeCell ref="A17:G17"/>
    <mergeCell ref="A18:G18"/>
    <mergeCell ref="A19:G19"/>
  </mergeCells>
  <conditionalFormatting sqref="H7:L16">
    <cfRule type="cellIs" priority="2" operator="equal" aboveAverage="0" equalAverage="0" bottom="0" percent="0" rank="0" text="" dxfId="0">
      <formula>"×"</formula>
    </cfRule>
    <cfRule type="cellIs" priority="3" operator="equal" aboveAverage="0" equalAverage="0" bottom="0" percent="0" rank="0" text="" dxfId="1">
      <formula>"△"</formula>
    </cfRule>
  </conditionalFormatting>
  <dataValidations count="1">
    <dataValidation allowBlank="true" error="ใช้ ○ △ × หรือ — เท่านั้น" errorStyle="stop" errorTitle="ผลตรวจ" operator="between" prompt="○ ปกติ · △ เฝ้าดู · × ผิดปกติ · — ไม่ได้ตรวจ" promptTitle="ผลตรวจ" showDropDown="false" showErrorMessage="false" showInputMessage="false" sqref="H7:L8 H10:L10 H12:L14 H16:L16" type="list">
      <formula1>"○,△,×,—"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19" min="8" style="0" width="6"/>
    <col collapsed="false" customWidth="true" hidden="false" outlineLevel="0" max="20" min="20" style="0" width="7"/>
    <col collapsed="false" customWidth="true" hidden="false" outlineLevel="0" max="21" min="21" style="0" width="26"/>
  </cols>
  <sheetData>
    <row r="1" customFormat="false" ht="30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1.9" hidden="false" customHeight="fals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9.5" hidden="false" customHeight="true" outlineLevel="0" collapsed="false">
      <c r="B3" s="9" t="s">
        <v>28</v>
      </c>
      <c r="C3" s="10"/>
      <c r="D3" s="10"/>
      <c r="E3" s="9" t="s">
        <v>29</v>
      </c>
      <c r="F3" s="10"/>
      <c r="G3" s="10"/>
    </row>
    <row r="4" customFormat="false" ht="19.5" hidden="false" customHeight="true" outlineLevel="0" collapsed="false">
      <c r="B4" s="9" t="s">
        <v>180</v>
      </c>
      <c r="C4" s="10"/>
      <c r="D4" s="10"/>
      <c r="E4" s="9" t="s">
        <v>181</v>
      </c>
      <c r="F4" s="10"/>
      <c r="G4" s="10"/>
    </row>
    <row r="5" customFormat="false" ht="31.5" hidden="false" customHeight="true" outlineLevel="0" collapsed="false">
      <c r="A5" s="12" t="s">
        <v>37</v>
      </c>
      <c r="B5" s="12" t="s">
        <v>38</v>
      </c>
      <c r="C5" s="12" t="s">
        <v>182</v>
      </c>
      <c r="D5" s="12" t="s">
        <v>40</v>
      </c>
      <c r="E5" s="12" t="s">
        <v>41</v>
      </c>
      <c r="F5" s="12" t="s">
        <v>20</v>
      </c>
      <c r="G5" s="12" t="s">
        <v>42</v>
      </c>
      <c r="H5" s="12" t="s">
        <v>183</v>
      </c>
      <c r="I5" s="12" t="s">
        <v>184</v>
      </c>
      <c r="J5" s="12" t="s">
        <v>185</v>
      </c>
      <c r="K5" s="12" t="s">
        <v>186</v>
      </c>
      <c r="L5" s="12" t="s">
        <v>187</v>
      </c>
      <c r="M5" s="12" t="s">
        <v>188</v>
      </c>
      <c r="N5" s="12" t="s">
        <v>189</v>
      </c>
      <c r="O5" s="12" t="s">
        <v>190</v>
      </c>
      <c r="P5" s="12" t="s">
        <v>191</v>
      </c>
      <c r="Q5" s="12" t="s">
        <v>192</v>
      </c>
      <c r="R5" s="12" t="s">
        <v>193</v>
      </c>
      <c r="S5" s="12" t="s">
        <v>194</v>
      </c>
      <c r="T5" s="12" t="s">
        <v>74</v>
      </c>
      <c r="U5" s="12" t="s">
        <v>75</v>
      </c>
    </row>
    <row r="6" customFormat="false" ht="19.5" hidden="false" customHeight="true" outlineLevel="0" collapsed="false">
      <c r="A6" s="13" t="s">
        <v>195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customFormat="false" ht="43.5" hidden="false" customHeight="true" outlineLevel="0" collapsed="false">
      <c r="A7" s="14" t="n">
        <v>1</v>
      </c>
      <c r="B7" s="15" t="s">
        <v>196</v>
      </c>
      <c r="C7" s="14" t="s">
        <v>197</v>
      </c>
      <c r="D7" s="15" t="s">
        <v>198</v>
      </c>
      <c r="E7" s="15" t="s">
        <v>199</v>
      </c>
      <c r="F7" s="16" t="s">
        <v>200</v>
      </c>
      <c r="G7" s="15" t="s">
        <v>201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n">
        <f aca="false">COUNTIF(H7:S7,"×")</f>
        <v>0</v>
      </c>
      <c r="U7" s="19"/>
    </row>
    <row r="8" customFormat="false" ht="43.5" hidden="false" customHeight="true" outlineLevel="0" collapsed="false">
      <c r="A8" s="14" t="n">
        <v>2</v>
      </c>
      <c r="B8" s="15" t="s">
        <v>202</v>
      </c>
      <c r="C8" s="14" t="s">
        <v>197</v>
      </c>
      <c r="D8" s="15" t="s">
        <v>203</v>
      </c>
      <c r="E8" s="15" t="s">
        <v>204</v>
      </c>
      <c r="F8" s="16" t="s">
        <v>205</v>
      </c>
      <c r="G8" s="15" t="s">
        <v>206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 t="n">
        <f aca="false">COUNTIF(H8:S8,"×")</f>
        <v>0</v>
      </c>
      <c r="U8" s="19"/>
    </row>
    <row r="9" customFormat="false" ht="43.5" hidden="false" customHeight="true" outlineLevel="0" collapsed="false">
      <c r="A9" s="14" t="n">
        <v>3</v>
      </c>
      <c r="B9" s="15" t="s">
        <v>207</v>
      </c>
      <c r="C9" s="14" t="s">
        <v>197</v>
      </c>
      <c r="D9" s="15" t="s">
        <v>208</v>
      </c>
      <c r="E9" s="15" t="s">
        <v>209</v>
      </c>
      <c r="F9" s="16" t="s">
        <v>210</v>
      </c>
      <c r="G9" s="15" t="s">
        <v>201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 t="n">
        <f aca="false">COUNTIF(H9:S9,"×")</f>
        <v>0</v>
      </c>
      <c r="U9" s="19"/>
    </row>
    <row r="10" customFormat="false" ht="43.5" hidden="false" customHeight="true" outlineLevel="0" collapsed="false">
      <c r="A10" s="14" t="n">
        <v>4</v>
      </c>
      <c r="B10" s="15" t="s">
        <v>211</v>
      </c>
      <c r="C10" s="14" t="s">
        <v>197</v>
      </c>
      <c r="D10" s="15" t="s">
        <v>212</v>
      </c>
      <c r="E10" s="15" t="s">
        <v>213</v>
      </c>
      <c r="F10" s="15" t="s">
        <v>210</v>
      </c>
      <c r="G10" s="15" t="s">
        <v>201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8" t="n">
        <f aca="false">COUNTIF(H10:S10,"×")</f>
        <v>0</v>
      </c>
      <c r="U10" s="19"/>
    </row>
    <row r="11" customFormat="false" ht="43.5" hidden="false" customHeight="true" outlineLevel="0" collapsed="false">
      <c r="A11" s="14" t="n">
        <v>5</v>
      </c>
      <c r="B11" s="15" t="s">
        <v>214</v>
      </c>
      <c r="C11" s="14" t="s">
        <v>197</v>
      </c>
      <c r="D11" s="15" t="s">
        <v>215</v>
      </c>
      <c r="E11" s="15" t="s">
        <v>216</v>
      </c>
      <c r="F11" s="16" t="s">
        <v>210</v>
      </c>
      <c r="G11" s="15" t="s">
        <v>201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 t="n">
        <f aca="false">COUNTIF(H11:S11,"×")</f>
        <v>0</v>
      </c>
      <c r="U11" s="19"/>
    </row>
    <row r="12" customFormat="false" ht="43.5" hidden="false" customHeight="true" outlineLevel="0" collapsed="false">
      <c r="A12" s="14" t="n">
        <v>6</v>
      </c>
      <c r="B12" s="15" t="s">
        <v>217</v>
      </c>
      <c r="C12" s="14" t="s">
        <v>197</v>
      </c>
      <c r="D12" s="15" t="s">
        <v>218</v>
      </c>
      <c r="E12" s="15" t="s">
        <v>219</v>
      </c>
      <c r="F12" s="16" t="s">
        <v>210</v>
      </c>
      <c r="G12" s="15" t="s">
        <v>201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 t="n">
        <f aca="false">COUNTIF(H12:S12,"×")</f>
        <v>0</v>
      </c>
      <c r="U12" s="19"/>
    </row>
    <row r="13" customFormat="false" ht="43.5" hidden="false" customHeight="true" outlineLevel="0" collapsed="false">
      <c r="A13" s="14" t="n">
        <v>7</v>
      </c>
      <c r="B13" s="15" t="s">
        <v>220</v>
      </c>
      <c r="C13" s="14" t="s">
        <v>197</v>
      </c>
      <c r="D13" s="15" t="s">
        <v>221</v>
      </c>
      <c r="E13" s="15" t="s">
        <v>222</v>
      </c>
      <c r="F13" s="16" t="s">
        <v>210</v>
      </c>
      <c r="G13" s="15" t="s">
        <v>201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 t="n">
        <f aca="false">COUNTIF(H13:S13,"×")</f>
        <v>0</v>
      </c>
      <c r="U13" s="19"/>
    </row>
    <row r="14" customFormat="false" ht="43.5" hidden="false" customHeight="true" outlineLevel="0" collapsed="false">
      <c r="A14" s="14" t="n">
        <v>8</v>
      </c>
      <c r="B14" s="15" t="s">
        <v>223</v>
      </c>
      <c r="C14" s="14" t="s">
        <v>197</v>
      </c>
      <c r="D14" s="15" t="s">
        <v>221</v>
      </c>
      <c r="E14" s="15" t="s">
        <v>222</v>
      </c>
      <c r="F14" s="16" t="s">
        <v>210</v>
      </c>
      <c r="G14" s="15" t="s">
        <v>201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8" t="n">
        <f aca="false">COUNTIF(H14:S14,"×")</f>
        <v>0</v>
      </c>
      <c r="U14" s="19"/>
    </row>
    <row r="15" customFormat="false" ht="19.5" hidden="false" customHeight="true" outlineLevel="0" collapsed="false">
      <c r="A15" s="13" t="s">
        <v>224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customFormat="false" ht="43.5" hidden="false" customHeight="true" outlineLevel="0" collapsed="false">
      <c r="A16" s="14" t="n">
        <v>9</v>
      </c>
      <c r="B16" s="15" t="s">
        <v>225</v>
      </c>
      <c r="C16" s="14" t="s">
        <v>226</v>
      </c>
      <c r="D16" s="15" t="s">
        <v>227</v>
      </c>
      <c r="E16" s="15" t="s">
        <v>228</v>
      </c>
      <c r="F16" s="15" t="s">
        <v>229</v>
      </c>
      <c r="G16" s="15" t="s">
        <v>230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 t="n">
        <f aca="false">COUNTIF(H16:S16,"×")</f>
        <v>0</v>
      </c>
      <c r="U16" s="19"/>
    </row>
    <row r="17" customFormat="false" ht="43.5" hidden="false" customHeight="true" outlineLevel="0" collapsed="false">
      <c r="A17" s="14" t="n">
        <v>10</v>
      </c>
      <c r="B17" s="15" t="s">
        <v>231</v>
      </c>
      <c r="C17" s="14" t="s">
        <v>226</v>
      </c>
      <c r="D17" s="15" t="s">
        <v>232</v>
      </c>
      <c r="E17" s="15" t="s">
        <v>233</v>
      </c>
      <c r="F17" s="15" t="s">
        <v>234</v>
      </c>
      <c r="G17" s="15" t="s">
        <v>230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 t="n">
        <f aca="false">COUNTIF(H17:S17,"×")</f>
        <v>0</v>
      </c>
      <c r="U17" s="19"/>
    </row>
    <row r="18" customFormat="false" ht="43.5" hidden="false" customHeight="true" outlineLevel="0" collapsed="false">
      <c r="A18" s="14" t="n">
        <v>11</v>
      </c>
      <c r="B18" s="15" t="s">
        <v>235</v>
      </c>
      <c r="C18" s="14" t="s">
        <v>226</v>
      </c>
      <c r="D18" s="15" t="s">
        <v>236</v>
      </c>
      <c r="E18" s="15" t="s">
        <v>237</v>
      </c>
      <c r="F18" s="16" t="s">
        <v>234</v>
      </c>
      <c r="G18" s="15" t="s">
        <v>230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 t="n">
        <f aca="false">COUNTIF(H18:S18,"×")</f>
        <v>0</v>
      </c>
      <c r="U18" s="19"/>
    </row>
    <row r="19" customFormat="false" ht="43.5" hidden="false" customHeight="true" outlineLevel="0" collapsed="false">
      <c r="A19" s="14" t="n">
        <v>12</v>
      </c>
      <c r="B19" s="15" t="s">
        <v>238</v>
      </c>
      <c r="C19" s="14" t="s">
        <v>226</v>
      </c>
      <c r="D19" s="15" t="s">
        <v>239</v>
      </c>
      <c r="E19" s="15" t="s">
        <v>233</v>
      </c>
      <c r="F19" s="15" t="s">
        <v>234</v>
      </c>
      <c r="G19" s="15" t="s">
        <v>230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8" t="n">
        <f aca="false">COUNTIF(H19:S19,"×")</f>
        <v>0</v>
      </c>
      <c r="U19" s="19"/>
    </row>
    <row r="20" customFormat="false" ht="43.5" hidden="false" customHeight="true" outlineLevel="0" collapsed="false">
      <c r="A20" s="14" t="n">
        <v>13</v>
      </c>
      <c r="B20" s="15" t="s">
        <v>240</v>
      </c>
      <c r="C20" s="14" t="s">
        <v>226</v>
      </c>
      <c r="D20" s="15" t="s">
        <v>241</v>
      </c>
      <c r="E20" s="15" t="s">
        <v>233</v>
      </c>
      <c r="F20" s="15" t="s">
        <v>234</v>
      </c>
      <c r="G20" s="15" t="s">
        <v>230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8" t="n">
        <f aca="false">COUNTIF(H20:S20,"×")</f>
        <v>0</v>
      </c>
      <c r="U20" s="19"/>
    </row>
    <row r="21" customFormat="false" ht="43.5" hidden="false" customHeight="true" outlineLevel="0" collapsed="false">
      <c r="A21" s="14" t="n">
        <v>14</v>
      </c>
      <c r="B21" s="15" t="s">
        <v>242</v>
      </c>
      <c r="C21" s="14" t="s">
        <v>226</v>
      </c>
      <c r="D21" s="15" t="s">
        <v>243</v>
      </c>
      <c r="E21" s="15" t="s">
        <v>233</v>
      </c>
      <c r="F21" s="15" t="s">
        <v>234</v>
      </c>
      <c r="G21" s="15" t="s">
        <v>230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8" t="n">
        <f aca="false">COUNTIF(H21:S21,"×")</f>
        <v>0</v>
      </c>
      <c r="U21" s="19"/>
    </row>
    <row r="22" customFormat="false" ht="43.5" hidden="false" customHeight="true" outlineLevel="0" collapsed="false">
      <c r="A22" s="14" t="n">
        <v>15</v>
      </c>
      <c r="B22" s="15" t="s">
        <v>244</v>
      </c>
      <c r="C22" s="14" t="s">
        <v>226</v>
      </c>
      <c r="D22" s="15" t="s">
        <v>245</v>
      </c>
      <c r="E22" s="15" t="s">
        <v>233</v>
      </c>
      <c r="F22" s="15" t="s">
        <v>234</v>
      </c>
      <c r="G22" s="15" t="s">
        <v>230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 t="n">
        <f aca="false">COUNTIF(H22:S22,"×")</f>
        <v>0</v>
      </c>
      <c r="U22" s="19"/>
    </row>
    <row r="23" customFormat="false" ht="43.5" hidden="false" customHeight="true" outlineLevel="0" collapsed="false">
      <c r="A23" s="14" t="n">
        <v>16</v>
      </c>
      <c r="B23" s="15" t="s">
        <v>246</v>
      </c>
      <c r="C23" s="14" t="s">
        <v>226</v>
      </c>
      <c r="D23" s="15" t="s">
        <v>247</v>
      </c>
      <c r="E23" s="15" t="s">
        <v>233</v>
      </c>
      <c r="F23" s="15" t="s">
        <v>234</v>
      </c>
      <c r="G23" s="15" t="s">
        <v>230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8" t="n">
        <f aca="false">COUNTIF(H23:S23,"×")</f>
        <v>0</v>
      </c>
      <c r="U23" s="19"/>
    </row>
    <row r="24" customFormat="false" ht="21.75" hidden="false" customHeight="true" outlineLevel="0" collapsed="false">
      <c r="A24" s="20" t="s">
        <v>248</v>
      </c>
      <c r="B24" s="20"/>
      <c r="C24" s="20"/>
      <c r="D24" s="20"/>
      <c r="E24" s="20"/>
      <c r="F24" s="20"/>
      <c r="G24" s="20"/>
      <c r="H24" s="21" t="n">
        <f aca="false">COUNTIF(H7:H23,"×")</f>
        <v>0</v>
      </c>
      <c r="I24" s="21" t="n">
        <f aca="false">COUNTIF(I7:I23,"×")</f>
        <v>0</v>
      </c>
      <c r="J24" s="21" t="n">
        <f aca="false">COUNTIF(J7:J23,"×")</f>
        <v>0</v>
      </c>
      <c r="K24" s="21" t="n">
        <f aca="false">COUNTIF(K7:K23,"×")</f>
        <v>0</v>
      </c>
      <c r="L24" s="21" t="n">
        <f aca="false">COUNTIF(L7:L23,"×")</f>
        <v>0</v>
      </c>
      <c r="M24" s="21" t="n">
        <f aca="false">COUNTIF(M7:M23,"×")</f>
        <v>0</v>
      </c>
      <c r="N24" s="21" t="n">
        <f aca="false">COUNTIF(N7:N23,"×")</f>
        <v>0</v>
      </c>
      <c r="O24" s="21" t="n">
        <f aca="false">COUNTIF(O7:O23,"×")</f>
        <v>0</v>
      </c>
      <c r="P24" s="21" t="n">
        <f aca="false">COUNTIF(P7:P23,"×")</f>
        <v>0</v>
      </c>
      <c r="Q24" s="21" t="n">
        <f aca="false">COUNTIF(Q7:Q23,"×")</f>
        <v>0</v>
      </c>
      <c r="R24" s="21" t="n">
        <f aca="false">COUNTIF(R7:R23,"×")</f>
        <v>0</v>
      </c>
      <c r="S24" s="21" t="n">
        <f aca="false">COUNTIF(S7:S23,"×")</f>
        <v>0</v>
      </c>
    </row>
    <row r="25" customFormat="false" ht="21.75" hidden="false" customHeight="true" outlineLevel="0" collapsed="false">
      <c r="A25" s="20" t="s">
        <v>136</v>
      </c>
      <c r="B25" s="20"/>
      <c r="C25" s="20"/>
      <c r="D25" s="20"/>
      <c r="E25" s="20"/>
      <c r="F25" s="20"/>
      <c r="G25" s="20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</sheetData>
  <mergeCells count="10">
    <mergeCell ref="A1:U1"/>
    <mergeCell ref="A2:U2"/>
    <mergeCell ref="C3:D3"/>
    <mergeCell ref="F3:G3"/>
    <mergeCell ref="C4:D4"/>
    <mergeCell ref="F4:G4"/>
    <mergeCell ref="A6:U6"/>
    <mergeCell ref="A15:U15"/>
    <mergeCell ref="A24:G24"/>
    <mergeCell ref="A25:G25"/>
  </mergeCells>
  <conditionalFormatting sqref="H7:S23">
    <cfRule type="cellIs" priority="2" operator="equal" aboveAverage="0" equalAverage="0" bottom="0" percent="0" rank="0" text="" dxfId="0">
      <formula>"×"</formula>
    </cfRule>
    <cfRule type="cellIs" priority="3" operator="equal" aboveAverage="0" equalAverage="0" bottom="0" percent="0" rank="0" text="" dxfId="1">
      <formula>"△"</formula>
    </cfRule>
  </conditionalFormatting>
  <dataValidations count="1">
    <dataValidation allowBlank="true" error="ใช้ ○ △ × หรือ — เท่านั้น" errorStyle="stop" errorTitle="ผลตรวจ" operator="between" prompt="○ ปกติ · △ เฝ้าดู · × ผิดปกติ · — ไม่ได้ตรวจ" promptTitle="ผลตรวจ" showDropDown="false" showErrorMessage="false" showInputMessage="false" sqref="H7:S14 H16:S23" type="list">
      <formula1>"○,△,×,—"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249</v>
      </c>
      <c r="B1" s="1"/>
      <c r="C1" s="1"/>
    </row>
    <row r="2" customFormat="false" ht="11.9" hidden="false" customHeight="false" outlineLevel="0" collapsed="false">
      <c r="A2" s="2" t="s">
        <v>250</v>
      </c>
      <c r="B2" s="2"/>
      <c r="C2" s="2"/>
    </row>
    <row r="4" customFormat="false" ht="14.9" hidden="false" customHeight="false" outlineLevel="0" collapsed="false">
      <c r="A4" s="25" t="s">
        <v>251</v>
      </c>
      <c r="B4" s="25"/>
      <c r="C4" s="25"/>
    </row>
    <row r="5" customFormat="false" ht="15" hidden="false" customHeight="false" outlineLevel="0" collapsed="false">
      <c r="A5" s="12" t="s">
        <v>252</v>
      </c>
      <c r="B5" s="12" t="s">
        <v>253</v>
      </c>
      <c r="C5" s="12" t="s">
        <v>254</v>
      </c>
    </row>
    <row r="6" customFormat="false" ht="31.5" hidden="false" customHeight="true" outlineLevel="0" collapsed="false">
      <c r="A6" s="15" t="s">
        <v>255</v>
      </c>
      <c r="B6" s="15" t="s">
        <v>256</v>
      </c>
      <c r="C6" s="15" t="s">
        <v>257</v>
      </c>
    </row>
    <row r="7" customFormat="false" ht="31.5" hidden="false" customHeight="true" outlineLevel="0" collapsed="false">
      <c r="A7" s="15" t="s">
        <v>258</v>
      </c>
      <c r="B7" s="15" t="s">
        <v>259</v>
      </c>
      <c r="C7" s="15" t="s">
        <v>260</v>
      </c>
    </row>
    <row r="8" customFormat="false" ht="31.5" hidden="false" customHeight="true" outlineLevel="0" collapsed="false">
      <c r="A8" s="15" t="s">
        <v>261</v>
      </c>
      <c r="B8" s="15" t="s">
        <v>262</v>
      </c>
      <c r="C8" s="15" t="s">
        <v>263</v>
      </c>
    </row>
    <row r="10" customFormat="false" ht="14.9" hidden="false" customHeight="false" outlineLevel="0" collapsed="false">
      <c r="A10" s="25" t="s">
        <v>264</v>
      </c>
      <c r="B10" s="25"/>
      <c r="C10" s="25"/>
    </row>
    <row r="11" customFormat="false" ht="15" hidden="false" customHeight="false" outlineLevel="0" collapsed="false">
      <c r="A11" s="12" t="s">
        <v>265</v>
      </c>
      <c r="B11" s="12" t="s">
        <v>266</v>
      </c>
      <c r="C11" s="12"/>
    </row>
    <row r="12" customFormat="false" ht="31.5" hidden="false" customHeight="true" outlineLevel="0" collapsed="false">
      <c r="A12" s="15" t="s">
        <v>267</v>
      </c>
      <c r="B12" s="15" t="s">
        <v>268</v>
      </c>
      <c r="C12" s="15"/>
    </row>
    <row r="13" customFormat="false" ht="31.5" hidden="false" customHeight="true" outlineLevel="0" collapsed="false">
      <c r="A13" s="15" t="s">
        <v>269</v>
      </c>
      <c r="B13" s="15" t="s">
        <v>270</v>
      </c>
      <c r="C13" s="15"/>
    </row>
    <row r="15" customFormat="false" ht="14.9" hidden="false" customHeight="false" outlineLevel="0" collapsed="false">
      <c r="A15" s="25" t="s">
        <v>271</v>
      </c>
      <c r="B15" s="25"/>
      <c r="C15" s="25"/>
    </row>
    <row r="16" customFormat="false" ht="15" hidden="false" customHeight="false" outlineLevel="0" collapsed="false">
      <c r="A16" s="12" t="s">
        <v>272</v>
      </c>
      <c r="B16" s="12" t="s">
        <v>273</v>
      </c>
      <c r="C16" s="12" t="s">
        <v>20</v>
      </c>
    </row>
    <row r="17" customFormat="false" ht="31.5" hidden="false" customHeight="true" outlineLevel="0" collapsed="false">
      <c r="A17" s="15" t="s">
        <v>274</v>
      </c>
      <c r="B17" s="15" t="s">
        <v>275</v>
      </c>
      <c r="C17" s="15" t="s">
        <v>276</v>
      </c>
    </row>
    <row r="18" customFormat="false" ht="31.5" hidden="false" customHeight="true" outlineLevel="0" collapsed="false">
      <c r="A18" s="15" t="s">
        <v>277</v>
      </c>
      <c r="B18" s="15" t="s">
        <v>278</v>
      </c>
      <c r="C18" s="15" t="s">
        <v>276</v>
      </c>
    </row>
    <row r="19" customFormat="false" ht="31.5" hidden="false" customHeight="true" outlineLevel="0" collapsed="false">
      <c r="A19" s="15" t="s">
        <v>39</v>
      </c>
      <c r="B19" s="15" t="s">
        <v>279</v>
      </c>
      <c r="C19" s="15" t="s">
        <v>276</v>
      </c>
    </row>
    <row r="20" customFormat="false" ht="31.5" hidden="false" customHeight="true" outlineLevel="0" collapsed="false">
      <c r="A20" s="15" t="s">
        <v>280</v>
      </c>
      <c r="B20" s="15" t="s">
        <v>281</v>
      </c>
      <c r="C20" s="15" t="s">
        <v>276</v>
      </c>
    </row>
    <row r="21" customFormat="false" ht="31.5" hidden="false" customHeight="true" outlineLevel="0" collapsed="false">
      <c r="A21" s="15" t="s">
        <v>282</v>
      </c>
      <c r="B21" s="15" t="s">
        <v>283</v>
      </c>
      <c r="C21" s="15" t="s">
        <v>284</v>
      </c>
    </row>
    <row r="23" customFormat="false" ht="14.9" hidden="false" customHeight="false" outlineLevel="0" collapsed="false">
      <c r="A23" s="25" t="s">
        <v>285</v>
      </c>
      <c r="B23" s="25"/>
      <c r="C23" s="25"/>
    </row>
    <row r="24" customFormat="false" ht="15" hidden="false" customHeight="false" outlineLevel="0" collapsed="false">
      <c r="A24" s="12"/>
      <c r="B24" s="12" t="s">
        <v>286</v>
      </c>
      <c r="C24" s="12"/>
    </row>
    <row r="25" customFormat="false" ht="31.5" hidden="false" customHeight="true" outlineLevel="0" collapsed="false">
      <c r="A25" s="15" t="s">
        <v>287</v>
      </c>
      <c r="B25" s="15" t="s">
        <v>288</v>
      </c>
      <c r="C25" s="15"/>
    </row>
    <row r="26" customFormat="false" ht="31.5" hidden="false" customHeight="true" outlineLevel="0" collapsed="false">
      <c r="A26" s="15" t="s">
        <v>289</v>
      </c>
      <c r="B26" s="15" t="s">
        <v>290</v>
      </c>
      <c r="C26" s="15"/>
    </row>
    <row r="27" customFormat="false" ht="31.5" hidden="false" customHeight="true" outlineLevel="0" collapsed="false">
      <c r="A27" s="15" t="s">
        <v>291</v>
      </c>
      <c r="B27" s="15" t="s">
        <v>292</v>
      </c>
      <c r="C27" s="15"/>
    </row>
    <row r="28" customFormat="false" ht="31.5" hidden="false" customHeight="true" outlineLevel="0" collapsed="false">
      <c r="A28" s="15" t="s">
        <v>293</v>
      </c>
      <c r="B28" s="15" t="s">
        <v>294</v>
      </c>
      <c r="C28" s="15"/>
    </row>
    <row r="29" customFormat="false" ht="31.5" hidden="false" customHeight="true" outlineLevel="0" collapsed="false">
      <c r="A29" s="15" t="s">
        <v>295</v>
      </c>
      <c r="B29" s="15" t="s">
        <v>296</v>
      </c>
      <c r="C29" s="15"/>
    </row>
    <row r="30" customFormat="false" ht="31.5" hidden="false" customHeight="true" outlineLevel="0" collapsed="false">
      <c r="A30" s="15" t="s">
        <v>297</v>
      </c>
      <c r="B30" s="15" t="s">
        <v>298</v>
      </c>
      <c r="C30" s="15"/>
    </row>
  </sheetData>
  <mergeCells count="6">
    <mergeCell ref="A1:C1"/>
    <mergeCell ref="A2:C2"/>
    <mergeCell ref="A4:C4"/>
    <mergeCell ref="A10:C10"/>
    <mergeCell ref="A15:C15"/>
    <mergeCell ref="A23:C23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300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12" t="s">
        <v>37</v>
      </c>
      <c r="B4" s="12" t="s">
        <v>301</v>
      </c>
      <c r="C4" s="12" t="s">
        <v>286</v>
      </c>
      <c r="D4" s="12" t="s">
        <v>302</v>
      </c>
      <c r="E4" s="12" t="s">
        <v>303</v>
      </c>
      <c r="F4" s="12" t="s">
        <v>304</v>
      </c>
      <c r="G4" s="12" t="s">
        <v>305</v>
      </c>
    </row>
    <row r="5" customFormat="false" ht="33.75" hidden="false" customHeight="true" outlineLevel="0" collapsed="false">
      <c r="A5" s="14" t="n">
        <v>1</v>
      </c>
      <c r="B5" s="15" t="s">
        <v>306</v>
      </c>
      <c r="C5" s="15" t="s">
        <v>307</v>
      </c>
      <c r="D5" s="15" t="s">
        <v>308</v>
      </c>
      <c r="E5" s="10"/>
      <c r="F5" s="10"/>
      <c r="G5" s="10"/>
    </row>
    <row r="6" customFormat="false" ht="33.75" hidden="false" customHeight="true" outlineLevel="0" collapsed="false">
      <c r="A6" s="14" t="n">
        <v>2</v>
      </c>
      <c r="B6" s="15" t="s">
        <v>309</v>
      </c>
      <c r="C6" s="15" t="s">
        <v>310</v>
      </c>
      <c r="D6" s="15" t="s">
        <v>311</v>
      </c>
      <c r="E6" s="10"/>
      <c r="F6" s="10"/>
      <c r="G6" s="10"/>
    </row>
    <row r="7" customFormat="false" ht="33.75" hidden="false" customHeight="true" outlineLevel="0" collapsed="false">
      <c r="A7" s="14" t="n">
        <v>3</v>
      </c>
      <c r="B7" s="15" t="s">
        <v>312</v>
      </c>
      <c r="C7" s="15" t="s">
        <v>313</v>
      </c>
      <c r="D7" s="15" t="s">
        <v>314</v>
      </c>
      <c r="E7" s="10"/>
      <c r="F7" s="10"/>
      <c r="G7" s="10"/>
    </row>
    <row r="8" customFormat="false" ht="33.75" hidden="false" customHeight="true" outlineLevel="0" collapsed="false">
      <c r="A8" s="14" t="n">
        <v>4</v>
      </c>
      <c r="B8" s="15" t="s">
        <v>315</v>
      </c>
      <c r="C8" s="15" t="s">
        <v>316</v>
      </c>
      <c r="D8" s="15" t="s">
        <v>317</v>
      </c>
      <c r="E8" s="10"/>
      <c r="F8" s="10"/>
      <c r="G8" s="10"/>
    </row>
    <row r="9" customFormat="false" ht="33.75" hidden="false" customHeight="true" outlineLevel="0" collapsed="false">
      <c r="A9" s="14" t="n">
        <v>5</v>
      </c>
      <c r="B9" s="15" t="s">
        <v>318</v>
      </c>
      <c r="C9" s="15" t="s">
        <v>319</v>
      </c>
      <c r="D9" s="15" t="s">
        <v>320</v>
      </c>
      <c r="E9" s="10"/>
      <c r="F9" s="10"/>
      <c r="G9" s="10"/>
    </row>
    <row r="10" customFormat="false" ht="33.75" hidden="false" customHeight="true" outlineLevel="0" collapsed="false">
      <c r="A10" s="14" t="n">
        <v>6</v>
      </c>
      <c r="B10" s="15" t="s">
        <v>321</v>
      </c>
      <c r="C10" s="15" t="s">
        <v>322</v>
      </c>
      <c r="D10" s="15" t="s">
        <v>323</v>
      </c>
      <c r="E10" s="10"/>
      <c r="F10" s="10"/>
      <c r="G10" s="10"/>
    </row>
    <row r="11" customFormat="false" ht="33.75" hidden="false" customHeight="true" outlineLevel="0" collapsed="false">
      <c r="A11" s="14" t="n">
        <v>7</v>
      </c>
      <c r="B11" s="15" t="s">
        <v>324</v>
      </c>
      <c r="C11" s="15" t="s">
        <v>325</v>
      </c>
      <c r="D11" s="15" t="s">
        <v>317</v>
      </c>
      <c r="E11" s="10"/>
      <c r="F11" s="10"/>
      <c r="G11" s="10"/>
    </row>
    <row r="12" customFormat="false" ht="33.75" hidden="false" customHeight="true" outlineLevel="0" collapsed="false">
      <c r="A12" s="14" t="n">
        <v>8</v>
      </c>
      <c r="B12" s="15" t="s">
        <v>326</v>
      </c>
      <c r="C12" s="15" t="s">
        <v>327</v>
      </c>
      <c r="D12" s="15" t="s">
        <v>317</v>
      </c>
      <c r="E12" s="10"/>
      <c r="F12" s="10"/>
      <c r="G12" s="10"/>
    </row>
    <row r="13" customFormat="false" ht="33.75" hidden="false" customHeight="true" outlineLevel="0" collapsed="false">
      <c r="A13" s="14" t="n">
        <v>9</v>
      </c>
      <c r="B13" s="15" t="s">
        <v>328</v>
      </c>
      <c r="C13" s="15" t="s">
        <v>329</v>
      </c>
      <c r="D13" s="15" t="s">
        <v>311</v>
      </c>
      <c r="E13" s="10"/>
      <c r="F13" s="10"/>
      <c r="G13" s="10"/>
    </row>
    <row r="14" customFormat="false" ht="33.75" hidden="false" customHeight="true" outlineLevel="0" collapsed="false">
      <c r="A14" s="14" t="n">
        <v>10</v>
      </c>
      <c r="B14" s="15" t="s">
        <v>330</v>
      </c>
      <c r="C14" s="15" t="s">
        <v>331</v>
      </c>
      <c r="D14" s="15" t="s">
        <v>332</v>
      </c>
      <c r="E14" s="10"/>
      <c r="F14" s="10"/>
      <c r="G14" s="10"/>
    </row>
    <row r="15" customFormat="false" ht="33.75" hidden="false" customHeight="true" outlineLevel="0" collapsed="false">
      <c r="A15" s="14" t="n">
        <v>11</v>
      </c>
      <c r="B15" s="15" t="s">
        <v>333</v>
      </c>
      <c r="C15" s="15" t="s">
        <v>334</v>
      </c>
      <c r="D15" s="15" t="s">
        <v>335</v>
      </c>
      <c r="E15" s="10"/>
      <c r="F15" s="10"/>
      <c r="G15" s="10"/>
    </row>
    <row r="16" customFormat="false" ht="33.75" hidden="false" customHeight="true" outlineLevel="0" collapsed="false">
      <c r="A16" s="14" t="n">
        <v>12</v>
      </c>
      <c r="B16" s="15" t="s">
        <v>336</v>
      </c>
      <c r="C16" s="15" t="s">
        <v>337</v>
      </c>
      <c r="D16" s="15" t="s">
        <v>338</v>
      </c>
      <c r="E16" s="10"/>
      <c r="F16" s="10"/>
      <c r="G16" s="10"/>
    </row>
    <row r="17" customFormat="false" ht="33.75" hidden="false" customHeight="true" outlineLevel="0" collapsed="false">
      <c r="A17" s="14" t="n">
        <v>13</v>
      </c>
      <c r="B17" s="15" t="s">
        <v>339</v>
      </c>
      <c r="C17" s="15" t="s">
        <v>340</v>
      </c>
      <c r="D17" s="15" t="s">
        <v>341</v>
      </c>
      <c r="E17" s="10"/>
      <c r="F17" s="10"/>
      <c r="G17" s="10"/>
    </row>
    <row r="18" customFormat="false" ht="33.75" hidden="false" customHeight="true" outlineLevel="0" collapsed="false">
      <c r="A18" s="14" t="n">
        <v>14</v>
      </c>
      <c r="B18" s="15" t="s">
        <v>342</v>
      </c>
      <c r="C18" s="15" t="s">
        <v>343</v>
      </c>
      <c r="D18" s="15" t="s">
        <v>344</v>
      </c>
      <c r="E18" s="10"/>
      <c r="F18" s="10"/>
      <c r="G18" s="10"/>
    </row>
    <row r="19" customFormat="false" ht="33.75" hidden="false" customHeight="true" outlineLevel="0" collapsed="false">
      <c r="A19" s="14" t="n">
        <v>15</v>
      </c>
      <c r="B19" s="15" t="s">
        <v>345</v>
      </c>
      <c r="C19" s="15" t="s">
        <v>346</v>
      </c>
      <c r="D19" s="15" t="s">
        <v>347</v>
      </c>
      <c r="E19" s="10"/>
      <c r="F19" s="10"/>
      <c r="G19" s="10"/>
    </row>
    <row r="20" customFormat="false" ht="33.75" hidden="false" customHeight="true" outlineLevel="0" collapsed="false">
      <c r="A20" s="14" t="n">
        <v>16</v>
      </c>
      <c r="B20" s="15" t="s">
        <v>348</v>
      </c>
      <c r="C20" s="15" t="s">
        <v>349</v>
      </c>
      <c r="D20" s="15" t="s">
        <v>350</v>
      </c>
      <c r="E20" s="10"/>
      <c r="F20" s="10"/>
      <c r="G20" s="10"/>
    </row>
    <row r="21" customFormat="false" ht="33.75" hidden="false" customHeight="true" outlineLevel="0" collapsed="false">
      <c r="A21" s="14" t="n">
        <v>17</v>
      </c>
      <c r="B21" s="15" t="s">
        <v>351</v>
      </c>
      <c r="C21" s="15" t="s">
        <v>352</v>
      </c>
      <c r="D21" s="15" t="s">
        <v>353</v>
      </c>
      <c r="E21" s="10"/>
      <c r="F21" s="10"/>
      <c r="G21" s="10"/>
    </row>
  </sheetData>
  <mergeCells count="2">
    <mergeCell ref="A1:G1"/>
    <mergeCell ref="A2:G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2026-10-05T03:25:53Z</dcterms:created>
  <dc:creator>openpyxl</dc:creator>
  <dc:description/>
  <dc:language>en-US</dc:language>
  <cp:lastModifiedBy/>
  <dcterms:modified xsi:type="dcterms:W3CDTF">2026-10-05T03:25:53Z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